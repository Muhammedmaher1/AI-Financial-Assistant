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tings" sheetId="2" state="visible" r:id="rId4"/>
    <sheet name="Summary" sheetId="3" state="visible" r:id="rId5"/>
    <sheet name="Transactions" sheetId="4" state="visible" r:id="rId6"/>
    <sheet name="Commitments" sheetId="5" state="visible" r:id="rId7"/>
    <sheet name="Budgets" sheetId="6" state="visible" r:id="rId8"/>
    <sheet name="Accounts" sheetId="7" state="visible" r:id="rId9"/>
    <sheet name="Investment_Transactions" sheetId="8" state="visible" r:id="rId10"/>
    <sheet name="Holdings" sheetId="9" state="visible" r:id="rId11"/>
    <sheet name="Goals" sheetId="10" state="visible" r:id="rId12"/>
    <sheet name="Monthly_Snapshots" sheetId="11" state="visible" r:id="rId13"/>
    <sheet name="Lis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Leave blank when typing manually. The script will fill unique IDs (TX-...) in Phase 2.</t>
        </r>
      </text>
    </comment>
    <comment ref="E1" authorId="0">
      <text>
        <r>
          <rPr>
            <sz val="10"/>
            <rFont val="Arial"/>
            <family val="2"/>
          </rPr>
          <t xml:space="preserve">Always a positive number. Direction comes from Transaction_Type.</t>
        </r>
      </text>
    </comment>
    <comment ref="N1" authorId="0">
      <text>
        <r>
          <rPr>
            <sz val="10"/>
            <rFont val="Arial"/>
            <family val="2"/>
          </rPr>
          <t xml:space="preserve">For a refund: the original Transaction_ID. For a recurring commitment payment: the Commitment_ID (e.g. CMT-001), so Commitments can mark it paid.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Day of the month the payment is due (1-31).</t>
        </r>
      </text>
    </comment>
    <comment ref="J1" authorId="0">
      <text>
        <r>
          <rPr>
            <sz val="10"/>
            <rFont val="Arial"/>
            <family val="2"/>
          </rPr>
          <t xml:space="preserve">Automatic. Paid when transactions linked to this Commitment_ID in Report_Month reach Expected_Amount. Monthly frequency only for now.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Effect on cash held inside Thndr: + for contributions, sales, dividends; - for purchases, fees, withdrawals.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Actual = price read from Thndr/EGX on Valuation_Date. Estimate = your own guess. Reports separate the two.</t>
        </r>
      </text>
    </comment>
  </commentList>
</comments>
</file>

<file path=xl/sharedStrings.xml><?xml version="1.0" encoding="utf-8"?>
<sst xmlns="http://schemas.openxmlformats.org/spreadsheetml/2006/main" count="715" uniqueCount="404">
  <si>
    <t xml:space="preserve">AI Personal Finance Assistant - Database v1</t>
  </si>
  <si>
    <t xml:space="preserve">How to use</t>
  </si>
  <si>
    <t xml:space="preserve">Yellow cells</t>
  </si>
  <si>
    <t xml:space="preserve">Your inputs (Settings values, budget amounts).</t>
  </si>
  <si>
    <t xml:space="preserve">Blue text</t>
  </si>
  <si>
    <t xml:space="preserve">EXAMPLE data. Delete every row marked EXAMPLE before entering real data.</t>
  </si>
  <si>
    <t xml:space="preserve">Black cells</t>
  </si>
  <si>
    <t xml:space="preserve">Formulas. Do not overwrite.</t>
  </si>
  <si>
    <t xml:space="preserve">Entering expenses</t>
  </si>
  <si>
    <t xml:space="preserve">Type them on Transactions. Leave Transaction_ID blank; the script will assign IDs. Amounts are always positive.</t>
  </si>
  <si>
    <t xml:space="preserve">Changing month</t>
  </si>
  <si>
    <t xml:space="preserve">Settings &gt; Report_Month controls Summary, Budgets and Commitments status.</t>
  </si>
  <si>
    <t xml:space="preserve">Transaction types</t>
  </si>
  <si>
    <t xml:space="preserve">Income</t>
  </si>
  <si>
    <t xml:space="preserve">Salary, bonus, freelance, gifts received. Counts as income.</t>
  </si>
  <si>
    <t xml:space="preserve">Expense</t>
  </si>
  <si>
    <t xml:space="preserve">Consumption spending. Counts toward budgets and spending.</t>
  </si>
  <si>
    <t xml:space="preserve">Refund</t>
  </si>
  <si>
    <t xml:space="preserve">Money returned for an earlier expense. Reduces that category's spending.</t>
  </si>
  <si>
    <t xml:space="preserve">Debt Payment</t>
  </si>
  <si>
    <t xml:space="preserve">Loan/credit card repayment. Not consumption; reduces cash. Use Expense for installments on goods you want counted as spending.</t>
  </si>
  <si>
    <t xml:space="preserve">Savings Transfer</t>
  </si>
  <si>
    <t xml:space="preserve">Cash moved to savings (e.g. certificate, savings account). Not spending, not income.</t>
  </si>
  <si>
    <t xml:space="preserve">Investment Contribution</t>
  </si>
  <si>
    <t xml:space="preserve">Cash sent to Thndr or another investment account. Not spending. Record purchases inside Thndr on the Investment_Transactions tab only.</t>
  </si>
  <si>
    <t xml:space="preserve">Investment Withdrawal</t>
  </si>
  <si>
    <t xml:space="preserve">Cash taken out of Thndr back to your bank. Not income.</t>
  </si>
  <si>
    <t xml:space="preserve">Investment Return</t>
  </si>
  <si>
    <t xml:space="preserve">Dividends/interest paid out to your cash accounts. Tracked separately, not salary income.</t>
  </si>
  <si>
    <t xml:space="preserve">Internal Transfer</t>
  </si>
  <si>
    <t xml:space="preserve">Moving money between your own cash accounts (e.g. ATM withdrawal). Ignored in income and spending.</t>
  </si>
  <si>
    <t xml:space="preserve">Double-counting rules</t>
  </si>
  <si>
    <t xml:space="preserve">Thndr</t>
  </si>
  <si>
    <t xml:space="preserve">Money leaving your bank for Thndr = one Investment Contribution on Transactions. What you buy inside Thndr goes ONLY on Investment_Transactions.</t>
  </si>
  <si>
    <t xml:space="preserve">ATM / own accounts</t>
  </si>
  <si>
    <t xml:space="preserve">Internal Transfer. Spending the cash later is recorded as normal Expenses.</t>
  </si>
  <si>
    <t xml:space="preserve">Refunds</t>
  </si>
  <si>
    <t xml:space="preserve">Refund with the original Transaction_ID in Related_Transaction_ID; reduces that category's spending.</t>
  </si>
  <si>
    <t xml:space="preserve">Commitments</t>
  </si>
  <si>
    <t xml:space="preserve">Record the payment as an Expense with Recurring_Flag = Yes and the Commitment_ID (e.g. CMT-001) in Related_Transaction_ID.</t>
  </si>
  <si>
    <t xml:space="preserve">Not built yet</t>
  </si>
  <si>
    <t xml:space="preserve">Account balances from transactions, anomaly flags, bot, dashboard, reports - later phases.</t>
  </si>
  <si>
    <t xml:space="preserve">Setting</t>
  </si>
  <si>
    <t xml:space="preserve">Value</t>
  </si>
  <si>
    <t xml:space="preserve">Description</t>
  </si>
  <si>
    <t xml:space="preserve">Time_Zone</t>
  </si>
  <si>
    <t xml:space="preserve">Africa/Cairo</t>
  </si>
  <si>
    <t xml:space="preserve">All dates and times use Egyptian local time.</t>
  </si>
  <si>
    <t xml:space="preserve">Currency</t>
  </si>
  <si>
    <t xml:space="preserve">EGP</t>
  </si>
  <si>
    <t xml:space="preserve">Primary currency.</t>
  </si>
  <si>
    <t xml:space="preserve">Report_Month</t>
  </si>
  <si>
    <t xml:space="preserve">First day of the month that Summary and Budgets calculate. Change this to view another month.</t>
  </si>
  <si>
    <t xml:space="preserve">Monthly_Salary</t>
  </si>
  <si>
    <t xml:space="preserve">EXAMPLE VALUE - replace with your net monthly salary.</t>
  </si>
  <si>
    <t xml:space="preserve">Salary_Day</t>
  </si>
  <si>
    <t xml:space="preserve">EXAMPLE VALUE - day of month your salary usually arrives.</t>
  </si>
  <si>
    <t xml:space="preserve">Min_Cash_Buffer</t>
  </si>
  <si>
    <t xml:space="preserve">EXAMPLE VALUE - cash you always want to keep untouched, in EGP.</t>
  </si>
  <si>
    <t xml:space="preserve">Emergency_Fund_Months</t>
  </si>
  <si>
    <t xml:space="preserve">EXAMPLE VALUE - months of expenses your emergency fund should cover.</t>
  </si>
  <si>
    <t xml:space="preserve">Budget_Warning_Pct</t>
  </si>
  <si>
    <t xml:space="preserve">A category shows 'Warning' once spending reaches this share of its budget.</t>
  </si>
  <si>
    <t xml:space="preserve">Unusual_Txn_Multiplier</t>
  </si>
  <si>
    <t xml:space="preserve">A single expense larger than this many times its category's average is flagged for review (not as an error).</t>
  </si>
  <si>
    <t xml:space="preserve">MoM_Increase_Alert_Pct</t>
  </si>
  <si>
    <t xml:space="preserve">Flag categories whose spending rises more than this vs. the previous month.</t>
  </si>
  <si>
    <t xml:space="preserve">Confirmation_Mode</t>
  </si>
  <si>
    <t xml:space="preserve">ON</t>
  </si>
  <si>
    <t xml:space="preserve">ON = bot asks before saving; OFF = saves clear transactions immediately.</t>
  </si>
  <si>
    <t xml:space="preserve">Report_Email</t>
  </si>
  <si>
    <t xml:space="preserve">Email address for the monthly report.</t>
  </si>
  <si>
    <t xml:space="preserve">Report_Day</t>
  </si>
  <si>
    <t xml:space="preserve">Day of month the report is generated for the previous month.</t>
  </si>
  <si>
    <t xml:space="preserve">Risk_Profile</t>
  </si>
  <si>
    <t xml:space="preserve">To be set later: Conservative / Moderate / Growth.</t>
  </si>
  <si>
    <t xml:space="preserve">Monthly Summary</t>
  </si>
  <si>
    <t xml:space="preserve">Month start</t>
  </si>
  <si>
    <t xml:space="preserve">From Settings &gt; Report_Month</t>
  </si>
  <si>
    <t xml:space="preserve">Month end</t>
  </si>
  <si>
    <t xml:space="preserve">Today</t>
  </si>
  <si>
    <t xml:space="preserve">Days in month</t>
  </si>
  <si>
    <t xml:space="preserve">Days elapsed</t>
  </si>
  <si>
    <t xml:space="preserve">Full month once the month is over; 0 for a future month.</t>
  </si>
  <si>
    <t xml:space="preserve">INCOME</t>
  </si>
  <si>
    <t xml:space="preserve">Salary received</t>
  </si>
  <si>
    <t xml:space="preserve">Income rows with Category = Salary.</t>
  </si>
  <si>
    <t xml:space="preserve">Additional income</t>
  </si>
  <si>
    <t xml:space="preserve">All other Income rows.</t>
  </si>
  <si>
    <t xml:space="preserve">Total income</t>
  </si>
  <si>
    <t xml:space="preserve">Excludes refunds, transfers, investment withdrawals and returns.</t>
  </si>
  <si>
    <t xml:space="preserve">SPENDING</t>
  </si>
  <si>
    <t xml:space="preserve">Gross expenses</t>
  </si>
  <si>
    <t xml:space="preserve">Net consumption expenses</t>
  </si>
  <si>
    <t xml:space="preserve">Gross expenses minus refunds. The one spending number used everywhere.</t>
  </si>
  <si>
    <t xml:space="preserve">Fixed commitments paid</t>
  </si>
  <si>
    <t xml:space="preserve">Expenses flagged Recurring_Flag = Yes.</t>
  </si>
  <si>
    <t xml:space="preserve">Variable expenses</t>
  </si>
  <si>
    <t xml:space="preserve">Debt payments</t>
  </si>
  <si>
    <t xml:space="preserve">Not consumption; still a cash outflow.</t>
  </si>
  <si>
    <t xml:space="preserve">Daily average spending</t>
  </si>
  <si>
    <t xml:space="preserve">Net consumption / days elapsed.</t>
  </si>
  <si>
    <t xml:space="preserve">Commitments still due this month</t>
  </si>
  <si>
    <t xml:space="preserve">Active commitments not yet fully paid.</t>
  </si>
  <si>
    <t xml:space="preserve">Projected month-end spending</t>
  </si>
  <si>
    <t xml:space="preserve">Fixed paid + commitments still due + variable spending projected straight-line.</t>
  </si>
  <si>
    <t xml:space="preserve">SAVING AND INVESTING</t>
  </si>
  <si>
    <t xml:space="preserve">Savings transfers</t>
  </si>
  <si>
    <t xml:space="preserve">Investment contributions</t>
  </si>
  <si>
    <t xml:space="preserve">Cash sent to Thndr. Purchases inside Thndr are NOT counted here.</t>
  </si>
  <si>
    <t xml:space="preserve">Investment withdrawals</t>
  </si>
  <si>
    <t xml:space="preserve">Investment returns paid out</t>
  </si>
  <si>
    <t xml:space="preserve">Shown separately; not part of income.</t>
  </si>
  <si>
    <t xml:space="preserve">Net saved and invested</t>
  </si>
  <si>
    <t xml:space="preserve">CASH FLOW</t>
  </si>
  <si>
    <t xml:space="preserve">Available cash flow</t>
  </si>
  <si>
    <t xml:space="preserve">Income - net consumption - debt payments + investment returns.</t>
  </si>
  <si>
    <t xml:space="preserve">Cash flow after saving and investing</t>
  </si>
  <si>
    <t xml:space="preserve">What stayed in your cash accounts this month.</t>
  </si>
  <si>
    <t xml:space="preserve">Uncommitted cash (estimate)</t>
  </si>
  <si>
    <t xml:space="preserve">After commitments still due and your minimum cash buffer. Negative = do not invest more this month.</t>
  </si>
  <si>
    <t xml:space="preserve">RATES</t>
  </si>
  <si>
    <t xml:space="preserve">Savings rate</t>
  </si>
  <si>
    <t xml:space="preserve">(Total income - net consumption - debt payments) / total income. Same definition in dashboard and report.</t>
  </si>
  <si>
    <t xml:space="preserve">Saved and invested rate</t>
  </si>
  <si>
    <t xml:space="preserve">Net saved and invested / total income. Money actually moved away from spending.</t>
  </si>
  <si>
    <t xml:space="preserve">COMPARISONS</t>
  </si>
  <si>
    <t xml:space="preserve">Previous month net consumption</t>
  </si>
  <si>
    <t xml:space="preserve">3-month average (previous 3 full months)</t>
  </si>
  <si>
    <t xml:space="preserve">Includes months with no data as zero; meaningful once you have 3 months recorded.</t>
  </si>
  <si>
    <t xml:space="preserve">Change vs previous month (pace-adjusted)</t>
  </si>
  <si>
    <t xml:space="preserve">Compares this month's pace (projected to a full month) with last month's total, so an incomplete month is not unfairly low.</t>
  </si>
  <si>
    <t xml:space="preserve">Budget used (total)</t>
  </si>
  <si>
    <t xml:space="preserve">Transaction_ID</t>
  </si>
  <si>
    <t xml:space="preserve">Transaction_Date</t>
  </si>
  <si>
    <t xml:space="preserve">Transaction_Time</t>
  </si>
  <si>
    <t xml:space="preserve">Transaction_Type</t>
  </si>
  <si>
    <t xml:space="preserve">Amount</t>
  </si>
  <si>
    <t xml:space="preserve">Category</t>
  </si>
  <si>
    <t xml:space="preserve">Subcategory</t>
  </si>
  <si>
    <t xml:space="preserve">Payment_Method</t>
  </si>
  <si>
    <t xml:space="preserve">Account</t>
  </si>
  <si>
    <t xml:space="preserve">Merchant</t>
  </si>
  <si>
    <t xml:space="preserve">Recurring_Flag</t>
  </si>
  <si>
    <t xml:space="preserve">Related_Transaction_ID</t>
  </si>
  <si>
    <t xml:space="preserve">Source</t>
  </si>
  <si>
    <t xml:space="preserve">Created_At</t>
  </si>
  <si>
    <t xml:space="preserve">Updated_At</t>
  </si>
  <si>
    <t xml:space="preserve">Notes</t>
  </si>
  <si>
    <t xml:space="preserve">EX-0001</t>
  </si>
  <si>
    <t xml:space="preserve">Salary</t>
  </si>
  <si>
    <t xml:space="preserve">Monthly Salary</t>
  </si>
  <si>
    <t xml:space="preserve">September salary</t>
  </si>
  <si>
    <t xml:space="preserve">Bank Transfer</t>
  </si>
  <si>
    <t xml:space="preserve">ACC-BANK1</t>
  </si>
  <si>
    <t xml:space="preserve">Employer</t>
  </si>
  <si>
    <t xml:space="preserve">Yes</t>
  </si>
  <si>
    <t xml:space="preserve">Example</t>
  </si>
  <si>
    <t xml:space="preserve">EXAMPLE ROW - delete before entering real data</t>
  </si>
  <si>
    <t xml:space="preserve">EX-0002</t>
  </si>
  <si>
    <t xml:space="preserve">Housing</t>
  </si>
  <si>
    <t xml:space="preserve">Rent</t>
  </si>
  <si>
    <t xml:space="preserve">Monthly rent</t>
  </si>
  <si>
    <t xml:space="preserve">Landlord</t>
  </si>
  <si>
    <t xml:space="preserve">CMT-001</t>
  </si>
  <si>
    <t xml:space="preserve">EX-0003</t>
  </si>
  <si>
    <t xml:space="preserve">Household</t>
  </si>
  <si>
    <t xml:space="preserve">Groceries</t>
  </si>
  <si>
    <t xml:space="preserve">Monthly groceries</t>
  </si>
  <si>
    <t xml:space="preserve">Debit Card</t>
  </si>
  <si>
    <t xml:space="preserve">Supermarket</t>
  </si>
  <si>
    <t xml:space="preserve">No</t>
  </si>
  <si>
    <t xml:space="preserve">EX-0004</t>
  </si>
  <si>
    <t xml:space="preserve">Transportation</t>
  </si>
  <si>
    <t xml:space="preserve">Fuel</t>
  </si>
  <si>
    <t xml:space="preserve">Gasoline</t>
  </si>
  <si>
    <t xml:space="preserve">Cash</t>
  </si>
  <si>
    <t xml:space="preserve">ACC-CASH</t>
  </si>
  <si>
    <t xml:space="preserve">EX-0005</t>
  </si>
  <si>
    <t xml:space="preserve">Food and Drinks</t>
  </si>
  <si>
    <t xml:space="preserve">Coffee</t>
  </si>
  <si>
    <t xml:space="preserve">EX-0006</t>
  </si>
  <si>
    <t xml:space="preserve">Household purchases</t>
  </si>
  <si>
    <t xml:space="preserve">EX-0007</t>
  </si>
  <si>
    <t xml:space="preserve">EX-0008</t>
  </si>
  <si>
    <t xml:space="preserve">Utilities</t>
  </si>
  <si>
    <t xml:space="preserve">Internet</t>
  </si>
  <si>
    <t xml:space="preserve">Home internet</t>
  </si>
  <si>
    <t xml:space="preserve">InstaPay</t>
  </si>
  <si>
    <t xml:space="preserve">ISP</t>
  </si>
  <si>
    <t xml:space="preserve">CMT-002</t>
  </si>
  <si>
    <t xml:space="preserve">EX-0009</t>
  </si>
  <si>
    <t xml:space="preserve">Investments</t>
  </si>
  <si>
    <t xml:space="preserve">Monthly Thndr deposit</t>
  </si>
  <si>
    <t xml:space="preserve">EX-0010</t>
  </si>
  <si>
    <t xml:space="preserve">Savings</t>
  </si>
  <si>
    <t xml:space="preserve">Savings Account</t>
  </si>
  <si>
    <t xml:space="preserve">Emergency fund top-up</t>
  </si>
  <si>
    <t xml:space="preserve">EX-0011</t>
  </si>
  <si>
    <t xml:space="preserve">Shopping</t>
  </si>
  <si>
    <t xml:space="preserve">Clothing</t>
  </si>
  <si>
    <t xml:space="preserve">T-shirt</t>
  </si>
  <si>
    <t xml:space="preserve">Store</t>
  </si>
  <si>
    <t xml:space="preserve">EX-0012</t>
  </si>
  <si>
    <t xml:space="preserve">Returned T-shirt</t>
  </si>
  <si>
    <t xml:space="preserve">EX-0013</t>
  </si>
  <si>
    <t xml:space="preserve">Transfers</t>
  </si>
  <si>
    <t xml:space="preserve">ATM Withdrawal</t>
  </si>
  <si>
    <t xml:space="preserve">ATM cash</t>
  </si>
  <si>
    <t xml:space="preserve">Commitment_ID</t>
  </si>
  <si>
    <t xml:space="preserve">Name</t>
  </si>
  <si>
    <t xml:space="preserve">Expected_Amount</t>
  </si>
  <si>
    <t xml:space="preserve">Due_Date</t>
  </si>
  <si>
    <t xml:space="preserve">Frequency</t>
  </si>
  <si>
    <t xml:space="preserve">Start_Date</t>
  </si>
  <si>
    <t xml:space="preserve">End_Date</t>
  </si>
  <si>
    <t xml:space="preserve">Active_Status</t>
  </si>
  <si>
    <t xml:space="preserve">Payment_Status</t>
  </si>
  <si>
    <t xml:space="preserve">Paid_This_Month</t>
  </si>
  <si>
    <t xml:space="preserve">Remaining_This_Month</t>
  </si>
  <si>
    <t xml:space="preserve">Monthly</t>
  </si>
  <si>
    <t xml:space="preserve">Active</t>
  </si>
  <si>
    <t xml:space="preserve">EXAMPLE ROW - replace with your commitments</t>
  </si>
  <si>
    <t xml:space="preserve">CMT-003</t>
  </si>
  <si>
    <t xml:space="preserve">Mobile plan</t>
  </si>
  <si>
    <t xml:space="preserve">CMT-004</t>
  </si>
  <si>
    <t xml:space="preserve">Car installment</t>
  </si>
  <si>
    <t xml:space="preserve">Installments</t>
  </si>
  <si>
    <t xml:space="preserve">Budgeted_Amount</t>
  </si>
  <si>
    <t xml:space="preserve">Actual_Amount</t>
  </si>
  <si>
    <t xml:space="preserve">Remaining_Budget</t>
  </si>
  <si>
    <t xml:space="preserve">Percent_Used</t>
  </si>
  <si>
    <t xml:space="preserve">Projected_Month_End</t>
  </si>
  <si>
    <t xml:space="preserve">Status</t>
  </si>
  <si>
    <t xml:space="preserve">Budgeted amounts are EXAMPLES - set your own in the yellow cells.</t>
  </si>
  <si>
    <t xml:space="preserve">Actual = Expenses minus Refunds in Report_Month (Settings).</t>
  </si>
  <si>
    <t xml:space="preserve">Projected = Actual / days elapsed x days in month (straight-line).</t>
  </si>
  <si>
    <t xml:space="preserve">Health</t>
  </si>
  <si>
    <t xml:space="preserve">Personal Care</t>
  </si>
  <si>
    <t xml:space="preserve">Entertainment</t>
  </si>
  <si>
    <t xml:space="preserve">Education</t>
  </si>
  <si>
    <t xml:space="preserve">Family and Gifts</t>
  </si>
  <si>
    <t xml:space="preserve">Charity</t>
  </si>
  <si>
    <t xml:space="preserve">Fees and Charges</t>
  </si>
  <si>
    <t xml:space="preserve">Other</t>
  </si>
  <si>
    <t xml:space="preserve">TOTAL</t>
  </si>
  <si>
    <t xml:space="preserve">Account_ID</t>
  </si>
  <si>
    <t xml:space="preserve">Account_Name</t>
  </si>
  <si>
    <t xml:space="preserve">Account_Type</t>
  </si>
  <si>
    <t xml:space="preserve">Institution</t>
  </si>
  <si>
    <t xml:space="preserve">Opening_Balance</t>
  </si>
  <si>
    <t xml:space="preserve">Opening_Date</t>
  </si>
  <si>
    <t xml:space="preserve">Last_Reconciled_Balance</t>
  </si>
  <si>
    <t xml:space="preserve">Reconciled_Date</t>
  </si>
  <si>
    <t xml:space="preserve">Include_In_Cash</t>
  </si>
  <si>
    <t xml:space="preserve">Wallet cash</t>
  </si>
  <si>
    <t xml:space="preserve">EXAMPLE ROW - rename and set balances</t>
  </si>
  <si>
    <t xml:space="preserve">Main bank account</t>
  </si>
  <si>
    <t xml:space="preserve">Bank Account</t>
  </si>
  <si>
    <t xml:space="preserve">Your bank</t>
  </si>
  <si>
    <t xml:space="preserve">ACC-THNDR</t>
  </si>
  <si>
    <t xml:space="preserve">Investment</t>
  </si>
  <si>
    <t xml:space="preserve">Inv_Txn_ID</t>
  </si>
  <si>
    <t xml:space="preserve">Date</t>
  </si>
  <si>
    <t xml:space="preserve">Event_Type</t>
  </si>
  <si>
    <t xml:space="preserve">Asset_Name</t>
  </si>
  <si>
    <t xml:space="preserve">Ticker</t>
  </si>
  <si>
    <t xml:space="preserve">Quantity</t>
  </si>
  <si>
    <t xml:space="preserve">Price_Per_Unit</t>
  </si>
  <si>
    <t xml:space="preserve">Gross_Amount</t>
  </si>
  <si>
    <t xml:space="preserve">Fees</t>
  </si>
  <si>
    <t xml:space="preserve">Net_Amount</t>
  </si>
  <si>
    <t xml:space="preserve">INV-0001</t>
  </si>
  <si>
    <t xml:space="preserve">Contribution</t>
  </si>
  <si>
    <t xml:space="preserve">Cash deposit</t>
  </si>
  <si>
    <t xml:space="preserve">EXAMPLE ROW</t>
  </si>
  <si>
    <t xml:space="preserve">INV-0002</t>
  </si>
  <si>
    <t xml:space="preserve">Purchase</t>
  </si>
  <si>
    <t xml:space="preserve">Example Money Market Fund</t>
  </si>
  <si>
    <t xml:space="preserve">INV-0003</t>
  </si>
  <si>
    <t xml:space="preserve">Example Stock</t>
  </si>
  <si>
    <t xml:space="preserve">EXMP</t>
  </si>
  <si>
    <t xml:space="preserve">Product_Type</t>
  </si>
  <si>
    <t xml:space="preserve">Avg_Acquisition_Cost</t>
  </si>
  <si>
    <t xml:space="preserve">Cost_Basis</t>
  </si>
  <si>
    <t xml:space="preserve">Current_Price</t>
  </si>
  <si>
    <t xml:space="preserve">Current_Market_Value</t>
  </si>
  <si>
    <t xml:space="preserve">Unrealized_Gain_Loss</t>
  </si>
  <si>
    <t xml:space="preserve">Gain_Loss_Pct</t>
  </si>
  <si>
    <t xml:space="preserve">Valuation_Date</t>
  </si>
  <si>
    <t xml:space="preserve">Fees_Paid</t>
  </si>
  <si>
    <t xml:space="preserve">Valuation_Source</t>
  </si>
  <si>
    <t xml:space="preserve">Value_Status</t>
  </si>
  <si>
    <t xml:space="preserve">Money Market Fund</t>
  </si>
  <si>
    <t xml:space="preserve">Thndr app</t>
  </si>
  <si>
    <t xml:space="preserve">Actual</t>
  </si>
  <si>
    <t xml:space="preserve">EXAMPLE ROW - replace with your Thndr holdings</t>
  </si>
  <si>
    <t xml:space="preserve">Stock</t>
  </si>
  <si>
    <t xml:space="preserve">Goal_ID</t>
  </si>
  <si>
    <t xml:space="preserve">Goal_Name</t>
  </si>
  <si>
    <t xml:space="preserve">Target_Amount</t>
  </si>
  <si>
    <t xml:space="preserve">Current_Amount</t>
  </si>
  <si>
    <t xml:space="preserve">Target_Date</t>
  </si>
  <si>
    <t xml:space="preserve">Priority</t>
  </si>
  <si>
    <t xml:space="preserve">Months_Remaining</t>
  </si>
  <si>
    <t xml:space="preserve">Required_Monthly_Contribution</t>
  </si>
  <si>
    <t xml:space="preserve">Progress_Pct</t>
  </si>
  <si>
    <t xml:space="preserve">GOAL-01</t>
  </si>
  <si>
    <t xml:space="preserve">Emergency fund</t>
  </si>
  <si>
    <t xml:space="preserve">High</t>
  </si>
  <si>
    <t xml:space="preserve">GOAL-02</t>
  </si>
  <si>
    <t xml:space="preserve">Car down payment</t>
  </si>
  <si>
    <t xml:space="preserve">Medium</t>
  </si>
  <si>
    <t xml:space="preserve">Month</t>
  </si>
  <si>
    <t xml:space="preserve">Total_Income</t>
  </si>
  <si>
    <t xml:space="preserve">Additional_Income</t>
  </si>
  <si>
    <t xml:space="preserve">Net_Consumption</t>
  </si>
  <si>
    <t xml:space="preserve">Fixed_Commitments</t>
  </si>
  <si>
    <t xml:space="preserve">Variable_Expenses</t>
  </si>
  <si>
    <t xml:space="preserve">Debt_Payments</t>
  </si>
  <si>
    <t xml:space="preserve">Savings_Transfers</t>
  </si>
  <si>
    <t xml:space="preserve">Investment_Contributions</t>
  </si>
  <si>
    <t xml:space="preserve">Investment_Withdrawals</t>
  </si>
  <si>
    <t xml:space="preserve">Savings_Rate</t>
  </si>
  <si>
    <t xml:space="preserve">Saved_Invested_Rate</t>
  </si>
  <si>
    <t xml:space="preserve">Portfolio_Value</t>
  </si>
  <si>
    <t xml:space="preserve">Cash_Balance</t>
  </si>
  <si>
    <t xml:space="preserve">Net_Worth</t>
  </si>
  <si>
    <t xml:space="preserve">Snapshot_Created_At</t>
  </si>
  <si>
    <t xml:space="preserve">Filled automatically at month-end (Phase 3) with frozen values, so past reports never change. Leave empty for now.</t>
  </si>
  <si>
    <t xml:space="preserve">Yes_No</t>
  </si>
  <si>
    <t xml:space="preserve">Inv_Event_Type</t>
  </si>
  <si>
    <t xml:space="preserve">Manual</t>
  </si>
  <si>
    <t xml:space="preserve">Telegram</t>
  </si>
  <si>
    <t xml:space="preserve">USD</t>
  </si>
  <si>
    <t xml:space="preserve">Maintenance</t>
  </si>
  <si>
    <t xml:space="preserve">Withdrawal</t>
  </si>
  <si>
    <t xml:space="preserve">Equity Fund</t>
  </si>
  <si>
    <t xml:space="preserve">Estimate</t>
  </si>
  <si>
    <t xml:space="preserve">Paused</t>
  </si>
  <si>
    <t xml:space="preserve">Quarterly</t>
  </si>
  <si>
    <t xml:space="preserve">Credit Card</t>
  </si>
  <si>
    <t xml:space="preserve">Voice</t>
  </si>
  <si>
    <t xml:space="preserve">EUR</t>
  </si>
  <si>
    <t xml:space="preserve">Furniture</t>
  </si>
  <si>
    <t xml:space="preserve">Ended</t>
  </si>
  <si>
    <t xml:space="preserve">Yearly</t>
  </si>
  <si>
    <t xml:space="preserve">Low</t>
  </si>
  <si>
    <t xml:space="preserve">Mobile Wallet</t>
  </si>
  <si>
    <t xml:space="preserve">Import</t>
  </si>
  <si>
    <t xml:space="preserve">SAR</t>
  </si>
  <si>
    <t xml:space="preserve">Electricity</t>
  </si>
  <si>
    <t xml:space="preserve">Sale</t>
  </si>
  <si>
    <t xml:space="preserve">Fixed Income Fund</t>
  </si>
  <si>
    <t xml:space="preserve">AED</t>
  </si>
  <si>
    <t xml:space="preserve">Water</t>
  </si>
  <si>
    <t xml:space="preserve">Fee</t>
  </si>
  <si>
    <t xml:space="preserve">Gold Fund</t>
  </si>
  <si>
    <t xml:space="preserve">Gas</t>
  </si>
  <si>
    <t xml:space="preserve">Dividend</t>
  </si>
  <si>
    <t xml:space="preserve">Gold</t>
  </si>
  <si>
    <t xml:space="preserve">Distribution</t>
  </si>
  <si>
    <t xml:space="preserve">T-Bill</t>
  </si>
  <si>
    <t xml:space="preserve">Mobile</t>
  </si>
  <si>
    <t xml:space="preserve">Interest</t>
  </si>
  <si>
    <t xml:space="preserve">Ride-hailing</t>
  </si>
  <si>
    <t xml:space="preserve">Public Transport</t>
  </si>
  <si>
    <t xml:space="preserve">Car Maintenance</t>
  </si>
  <si>
    <t xml:space="preserve">Parking</t>
  </si>
  <si>
    <t xml:space="preserve">Restaurants</t>
  </si>
  <si>
    <t xml:space="preserve">Delivery</t>
  </si>
  <si>
    <t xml:space="preserve">Additional Income</t>
  </si>
  <si>
    <t xml:space="preserve">Snacks</t>
  </si>
  <si>
    <t xml:space="preserve">Cleaning Supplies</t>
  </si>
  <si>
    <t xml:space="preserve">Debt</t>
  </si>
  <si>
    <t xml:space="preserve">Home Items</t>
  </si>
  <si>
    <t xml:space="preserve">Pharmacy</t>
  </si>
  <si>
    <t xml:space="preserve">Doctor</t>
  </si>
  <si>
    <t xml:space="preserve">Lab Tests</t>
  </si>
  <si>
    <t xml:space="preserve">Insurance</t>
  </si>
  <si>
    <t xml:space="preserve">Haircut</t>
  </si>
  <si>
    <t xml:space="preserve">Cosmetics</t>
  </si>
  <si>
    <t xml:space="preserve">Electronics</t>
  </si>
  <si>
    <t xml:space="preserve">Accessories</t>
  </si>
  <si>
    <t xml:space="preserve">Outings</t>
  </si>
  <si>
    <t xml:space="preserve">Subscriptions</t>
  </si>
  <si>
    <t xml:space="preserve">Travel</t>
  </si>
  <si>
    <t xml:space="preserve">Courses</t>
  </si>
  <si>
    <t xml:space="preserve">Books</t>
  </si>
  <si>
    <t xml:space="preserve">Family Support</t>
  </si>
  <si>
    <t xml:space="preserve">Gifts</t>
  </si>
  <si>
    <t xml:space="preserve">Occasions</t>
  </si>
  <si>
    <t xml:space="preserve">Zakat</t>
  </si>
  <si>
    <t xml:space="preserve">Sadaqa</t>
  </si>
  <si>
    <t xml:space="preserve">Installment</t>
  </si>
  <si>
    <t xml:space="preserve">Bank Fees</t>
  </si>
  <si>
    <t xml:space="preserve">Government Fees</t>
  </si>
  <si>
    <t xml:space="preserve">Bonus</t>
  </si>
  <si>
    <t xml:space="preserve">Freelance</t>
  </si>
  <si>
    <t xml:space="preserve">Gift Received</t>
  </si>
  <si>
    <t xml:space="preserve">Other Income</t>
  </si>
  <si>
    <t xml:space="preserve">Certificate</t>
  </si>
  <si>
    <t xml:space="preserve">Loan</t>
  </si>
  <si>
    <t xml:space="preserve">Between Own Accounts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</si>
</sst>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#,##0&quot; EGP&quot;;\(#,##0&quot; EGP)&quot;;\-"/>
    <numFmt numFmtId="167" formatCode="0%"/>
    <numFmt numFmtId="168" formatCode="0"/>
    <numFmt numFmtId="169" formatCode="0.0%;\(0.0%\);\-"/>
    <numFmt numFmtId="170" formatCode="hh:mm"/>
    <numFmt numFmtId="171" formatCode="#,##0.00"/>
    <numFmt numFmtId="172" formatCode="yyyy\-mm\-dd\ hh:mm"/>
    <numFmt numFmtId="173" formatCode="#,##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/>
    </row>
    <row r="4" customFormat="false" ht="15" hidden="false" customHeight="false" outlineLevel="0" collapsed="false">
      <c r="A4" s="4" t="s">
        <v>2</v>
      </c>
      <c r="B4" s="2" t="s">
        <v>3</v>
      </c>
    </row>
    <row r="5" customFormat="false" ht="15" hidden="false" customHeight="false" outlineLevel="0" collapsed="false">
      <c r="A5" s="4" t="s">
        <v>4</v>
      </c>
      <c r="B5" s="2" t="s">
        <v>5</v>
      </c>
    </row>
    <row r="6" customFormat="false" ht="15" hidden="false" customHeight="false" outlineLevel="0" collapsed="false">
      <c r="A6" s="4" t="s">
        <v>6</v>
      </c>
      <c r="B6" s="2" t="s">
        <v>7</v>
      </c>
    </row>
    <row r="7" customFormat="false" ht="15" hidden="false" customHeight="false" outlineLevel="0" collapsed="false">
      <c r="A7" s="4" t="s">
        <v>8</v>
      </c>
      <c r="B7" s="2" t="s">
        <v>9</v>
      </c>
    </row>
    <row r="8" customFormat="false" ht="15" hidden="false" customHeight="false" outlineLevel="0" collapsed="false">
      <c r="A8" s="4" t="s">
        <v>10</v>
      </c>
      <c r="B8" s="2" t="s">
        <v>11</v>
      </c>
    </row>
    <row r="9" customFormat="false" ht="15" hidden="false" customHeight="false" outlineLevel="0" collapsed="false">
      <c r="A9" s="4"/>
      <c r="B9" s="2"/>
    </row>
    <row r="10" customFormat="false" ht="15" hidden="false" customHeight="false" outlineLevel="0" collapsed="false">
      <c r="A10" s="3" t="s">
        <v>12</v>
      </c>
      <c r="B10" s="2"/>
    </row>
    <row r="11" customFormat="false" ht="15" hidden="false" customHeight="false" outlineLevel="0" collapsed="false">
      <c r="A11" s="4" t="s">
        <v>13</v>
      </c>
      <c r="B11" s="5" t="s">
        <v>14</v>
      </c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 t="s">
        <v>18</v>
      </c>
    </row>
    <row r="14" customFormat="false" ht="26.85" hidden="false" customHeight="false" outlineLevel="0" collapsed="false">
      <c r="A14" s="4" t="s">
        <v>19</v>
      </c>
      <c r="B14" s="5" t="s">
        <v>20</v>
      </c>
    </row>
    <row r="15" customFormat="false" ht="15" hidden="false" customHeight="false" outlineLevel="0" collapsed="false">
      <c r="A15" s="4" t="s">
        <v>21</v>
      </c>
      <c r="B15" s="5" t="s">
        <v>22</v>
      </c>
    </row>
    <row r="16" customFormat="false" ht="26.85" hidden="false" customHeight="false" outlineLevel="0" collapsed="false">
      <c r="A16" s="4" t="s">
        <v>23</v>
      </c>
      <c r="B16" s="5" t="s">
        <v>24</v>
      </c>
    </row>
    <row r="17" customFormat="false" ht="15" hidden="false" customHeight="false" outlineLevel="0" collapsed="false">
      <c r="A17" s="4" t="s">
        <v>25</v>
      </c>
      <c r="B17" s="5" t="s">
        <v>26</v>
      </c>
    </row>
    <row r="18" customFormat="false" ht="15" hidden="false" customHeight="false" outlineLevel="0" collapsed="false">
      <c r="A18" s="4" t="s">
        <v>27</v>
      </c>
      <c r="B18" s="5" t="s">
        <v>28</v>
      </c>
    </row>
    <row r="19" customFormat="false" ht="15" hidden="false" customHeight="false" outlineLevel="0" collapsed="false">
      <c r="A19" s="4" t="s">
        <v>29</v>
      </c>
      <c r="B19" s="5" t="s">
        <v>30</v>
      </c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3" t="s">
        <v>31</v>
      </c>
      <c r="B21" s="2"/>
    </row>
    <row r="22" customFormat="false" ht="26.85" hidden="false" customHeight="false" outlineLevel="0" collapsed="false">
      <c r="A22" s="4" t="s">
        <v>32</v>
      </c>
      <c r="B22" s="5" t="s">
        <v>33</v>
      </c>
    </row>
    <row r="23" customFormat="false" ht="15" hidden="false" customHeight="false" outlineLevel="0" collapsed="false">
      <c r="A23" s="4" t="s">
        <v>34</v>
      </c>
      <c r="B23" s="5" t="s">
        <v>35</v>
      </c>
    </row>
    <row r="24" customFormat="false" ht="15" hidden="false" customHeight="false" outlineLevel="0" collapsed="false">
      <c r="A24" s="4" t="s">
        <v>36</v>
      </c>
      <c r="B24" s="5" t="s">
        <v>37</v>
      </c>
    </row>
    <row r="25" customFormat="false" ht="26.85" hidden="false" customHeight="false" outlineLevel="0" collapsed="false">
      <c r="A25" s="4" t="s">
        <v>38</v>
      </c>
      <c r="B25" s="5" t="s">
        <v>39</v>
      </c>
    </row>
    <row r="26" customFormat="false" ht="15" hidden="false" customHeight="false" outlineLevel="0" collapsed="false">
      <c r="A26" s="4" t="s">
        <v>40</v>
      </c>
      <c r="B26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30" hidden="false" customHeight="true" outlineLevel="0" collapsed="false">
      <c r="A1" s="6" t="s">
        <v>42</v>
      </c>
      <c r="B1" s="6" t="s">
        <v>43</v>
      </c>
      <c r="C1" s="6" t="s">
        <v>44</v>
      </c>
    </row>
    <row r="2" customFormat="false" ht="15" hidden="false" customHeight="false" outlineLevel="0" collapsed="false">
      <c r="A2" s="4" t="s">
        <v>45</v>
      </c>
      <c r="B2" s="7" t="s">
        <v>46</v>
      </c>
      <c r="C2" s="5" t="s">
        <v>47</v>
      </c>
    </row>
    <row r="3" customFormat="false" ht="15" hidden="false" customHeight="false" outlineLevel="0" collapsed="false">
      <c r="A3" s="4" t="s">
        <v>48</v>
      </c>
      <c r="B3" s="7" t="s">
        <v>49</v>
      </c>
      <c r="C3" s="5" t="s">
        <v>50</v>
      </c>
    </row>
    <row r="4" customFormat="false" ht="26.85" hidden="false" customHeight="false" outlineLevel="0" collapsed="false">
      <c r="A4" s="4" t="s">
        <v>51</v>
      </c>
      <c r="B4" s="8" t="n">
        <v>46296</v>
      </c>
      <c r="C4" s="5" t="s">
        <v>52</v>
      </c>
    </row>
    <row r="5" customFormat="false" ht="15" hidden="false" customHeight="false" outlineLevel="0" collapsed="false">
      <c r="A5" s="4" t="s">
        <v>53</v>
      </c>
      <c r="B5" s="9" t="n">
        <v>30000</v>
      </c>
      <c r="C5" s="5" t="s">
        <v>54</v>
      </c>
    </row>
    <row r="6" customFormat="false" ht="15" hidden="false" customHeight="false" outlineLevel="0" collapsed="false">
      <c r="A6" s="4" t="s">
        <v>55</v>
      </c>
      <c r="B6" s="7" t="n">
        <v>25</v>
      </c>
      <c r="C6" s="5" t="s">
        <v>56</v>
      </c>
    </row>
    <row r="7" customFormat="false" ht="15" hidden="false" customHeight="false" outlineLevel="0" collapsed="false">
      <c r="A7" s="4" t="s">
        <v>57</v>
      </c>
      <c r="B7" s="9" t="n">
        <v>5000</v>
      </c>
      <c r="C7" s="5" t="s">
        <v>58</v>
      </c>
    </row>
    <row r="8" customFormat="false" ht="15" hidden="false" customHeight="false" outlineLevel="0" collapsed="false">
      <c r="A8" s="4" t="s">
        <v>59</v>
      </c>
      <c r="B8" s="7" t="n">
        <v>6</v>
      </c>
      <c r="C8" s="5" t="s">
        <v>60</v>
      </c>
    </row>
    <row r="9" customFormat="false" ht="15" hidden="false" customHeight="false" outlineLevel="0" collapsed="false">
      <c r="A9" s="4" t="s">
        <v>61</v>
      </c>
      <c r="B9" s="10" t="n">
        <v>0.8</v>
      </c>
      <c r="C9" s="5" t="s">
        <v>62</v>
      </c>
    </row>
    <row r="10" customFormat="false" ht="26.85" hidden="false" customHeight="false" outlineLevel="0" collapsed="false">
      <c r="A10" s="4" t="s">
        <v>63</v>
      </c>
      <c r="B10" s="7" t="n">
        <v>3</v>
      </c>
      <c r="C10" s="5" t="s">
        <v>64</v>
      </c>
    </row>
    <row r="11" customFormat="false" ht="15" hidden="false" customHeight="false" outlineLevel="0" collapsed="false">
      <c r="A11" s="4" t="s">
        <v>65</v>
      </c>
      <c r="B11" s="10" t="n">
        <v>0.25</v>
      </c>
      <c r="C11" s="5" t="s">
        <v>66</v>
      </c>
    </row>
    <row r="12" customFormat="false" ht="15" hidden="false" customHeight="false" outlineLevel="0" collapsed="false">
      <c r="A12" s="4" t="s">
        <v>67</v>
      </c>
      <c r="B12" s="7" t="s">
        <v>68</v>
      </c>
      <c r="C12" s="5" t="s">
        <v>69</v>
      </c>
    </row>
    <row r="13" customFormat="false" ht="15" hidden="false" customHeight="false" outlineLevel="0" collapsed="false">
      <c r="A13" s="4" t="s">
        <v>70</v>
      </c>
      <c r="B13" s="7"/>
      <c r="C13" s="5" t="s">
        <v>71</v>
      </c>
    </row>
    <row r="14" customFormat="false" ht="15" hidden="false" customHeight="false" outlineLevel="0" collapsed="false">
      <c r="A14" s="4" t="s">
        <v>72</v>
      </c>
      <c r="B14" s="7" t="n">
        <v>1</v>
      </c>
      <c r="C14" s="5" t="s">
        <v>73</v>
      </c>
    </row>
    <row r="15" customFormat="false" ht="15" hidden="false" customHeight="false" outlineLevel="0" collapsed="false">
      <c r="A15" s="4" t="s">
        <v>74</v>
      </c>
      <c r="B15" s="7"/>
      <c r="C15" s="5" t="s">
        <v>75</v>
      </c>
    </row>
  </sheetData>
  <dataValidations count="2">
    <dataValidation allowBlank="true" error="Pick a value from the dropdown list." errorStyle="stop" errorTitle="Invalid value" operator="between" showDropDown="false" showErrorMessage="true" showInputMessage="false" sqref="B12" type="list">
      <formula1>"ON,OFF"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B15" type="list">
      <formula1>"Conservative,Moderate,Growth"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76</v>
      </c>
      <c r="B1" s="2"/>
      <c r="C1" s="2"/>
    </row>
    <row r="2" customFormat="false" ht="15" hidden="false" customHeight="false" outlineLevel="0" collapsed="false">
      <c r="A2" s="2" t="s">
        <v>77</v>
      </c>
      <c r="B2" s="11" t="n">
        <f aca="false">Settings!$B$4</f>
        <v>46296</v>
      </c>
      <c r="C2" s="5" t="s">
        <v>78</v>
      </c>
    </row>
    <row r="3" customFormat="false" ht="15" hidden="false" customHeight="false" outlineLevel="0" collapsed="false">
      <c r="A3" s="2" t="s">
        <v>79</v>
      </c>
      <c r="B3" s="11" t="n">
        <f aca="false">EOMONTH(B2,0)</f>
        <v>46326</v>
      </c>
      <c r="C3" s="5"/>
    </row>
    <row r="4" customFormat="false" ht="15" hidden="false" customHeight="false" outlineLevel="0" collapsed="false">
      <c r="A4" s="2" t="s">
        <v>80</v>
      </c>
      <c r="B4" s="11" t="n">
        <f aca="true">TODAY()</f>
        <v>46307</v>
      </c>
      <c r="C4" s="5"/>
    </row>
    <row r="5" customFormat="false" ht="15" hidden="false" customHeight="false" outlineLevel="0" collapsed="false">
      <c r="A5" s="2" t="s">
        <v>81</v>
      </c>
      <c r="B5" s="12" t="n">
        <f aca="false">DAY(B3)</f>
        <v>31</v>
      </c>
      <c r="C5" s="5"/>
    </row>
    <row r="6" customFormat="false" ht="15" hidden="false" customHeight="false" outlineLevel="0" collapsed="false">
      <c r="A6" s="2" t="s">
        <v>82</v>
      </c>
      <c r="B6" s="12" t="n">
        <f aca="false">IF(B4&lt;B2,0,MIN(B4,B3)-B2+1)</f>
        <v>12</v>
      </c>
      <c r="C6" s="5" t="s">
        <v>83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3" t="s">
        <v>84</v>
      </c>
      <c r="B8" s="2"/>
      <c r="C8" s="5"/>
    </row>
    <row r="9" customFormat="false" ht="15" hidden="false" customHeight="false" outlineLevel="0" collapsed="false">
      <c r="A9" s="2" t="s">
        <v>85</v>
      </c>
      <c r="B9" s="13" t="n">
        <f aca="false">SUMIFS(Transactions!$E$2:$E$5000,Transactions!$D$2:$D$5000,"Income",Transactions!$B$2:$B$5000,"&gt;="&amp;$B$2,Transactions!$B$2:$B$5000,"&lt;="&amp;$B$3,Transactions!$G$2:$G$5000,"Salary")</f>
        <v>0</v>
      </c>
      <c r="C9" s="5" t="s">
        <v>86</v>
      </c>
    </row>
    <row r="10" customFormat="false" ht="15" hidden="false" customHeight="false" outlineLevel="0" collapsed="false">
      <c r="A10" s="2" t="s">
        <v>87</v>
      </c>
      <c r="B10" s="13" t="n">
        <f aca="false">SUMIFS(Transactions!$E$2:$E$5000,Transactions!$D$2:$D$5000,"Income",Transactions!$B$2:$B$5000,"&gt;="&amp;$B$2,Transactions!$B$2:$B$5000,"&lt;="&amp;$B$3)-B9</f>
        <v>0</v>
      </c>
      <c r="C10" s="5" t="s">
        <v>88</v>
      </c>
    </row>
    <row r="11" customFormat="false" ht="15" hidden="false" customHeight="false" outlineLevel="0" collapsed="false">
      <c r="A11" s="4" t="s">
        <v>89</v>
      </c>
      <c r="B11" s="14" t="n">
        <f aca="false">B9+B10</f>
        <v>0</v>
      </c>
      <c r="C11" s="5" t="s">
        <v>90</v>
      </c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3" t="s">
        <v>91</v>
      </c>
      <c r="B13" s="2"/>
      <c r="C13" s="5"/>
    </row>
    <row r="14" customFormat="false" ht="15" hidden="false" customHeight="false" outlineLevel="0" collapsed="false">
      <c r="A14" s="2" t="s">
        <v>92</v>
      </c>
      <c r="B14" s="13" t="n">
        <f aca="false">SUMIFS(Transactions!$E$2:$E$5000,Transactions!$D$2:$D$5000,"Expense",Transactions!$B$2:$B$5000,"&gt;="&amp;$B$2,Transactions!$B$2:$B$5000,"&lt;="&amp;$B$3)</f>
        <v>10420</v>
      </c>
      <c r="C14" s="5"/>
    </row>
    <row r="15" customFormat="false" ht="15" hidden="false" customHeight="false" outlineLevel="0" collapsed="false">
      <c r="A15" s="2" t="s">
        <v>36</v>
      </c>
      <c r="B15" s="13" t="n">
        <f aca="false">SUMIFS(Transactions!$E$2:$E$5000,Transactions!$D$2:$D$5000,"Refund",Transactions!$B$2:$B$5000,"&gt;="&amp;$B$2,Transactions!$B$2:$B$5000,"&lt;="&amp;$B$3)</f>
        <v>300</v>
      </c>
      <c r="C15" s="5"/>
    </row>
    <row r="16" customFormat="false" ht="26.85" hidden="false" customHeight="false" outlineLevel="0" collapsed="false">
      <c r="A16" s="4" t="s">
        <v>93</v>
      </c>
      <c r="B16" s="14" t="n">
        <f aca="false">B14-B15</f>
        <v>10120</v>
      </c>
      <c r="C16" s="5" t="s">
        <v>94</v>
      </c>
    </row>
    <row r="17" customFormat="false" ht="15" hidden="false" customHeight="false" outlineLevel="0" collapsed="false">
      <c r="A17" s="2" t="s">
        <v>95</v>
      </c>
      <c r="B17" s="13" t="n">
        <f aca="false">SUMIFS(Transactions!$E$2:$E$5000,Transactions!$D$2:$D$5000,"Expense",Transactions!$B$2:$B$5000,"&gt;="&amp;$B$2,Transactions!$B$2:$B$5000,"&lt;="&amp;$B$3,Transactions!$M$2:$M$5000,"Yes")-SUMIFS(Transactions!$E$2:$E$5000,Transactions!$D$2:$D$5000,"Refund",Transactions!$B$2:$B$5000,"&gt;="&amp;$B$2,Transactions!$B$2:$B$5000,"&lt;="&amp;$B$3,Transactions!$M$2:$M$5000,"Yes")</f>
        <v>8450</v>
      </c>
      <c r="C17" s="5" t="s">
        <v>96</v>
      </c>
    </row>
    <row r="18" customFormat="false" ht="15" hidden="false" customHeight="false" outlineLevel="0" collapsed="false">
      <c r="A18" s="2" t="s">
        <v>97</v>
      </c>
      <c r="B18" s="13" t="n">
        <f aca="false">B16-B17</f>
        <v>1670</v>
      </c>
      <c r="C18" s="5"/>
    </row>
    <row r="19" customFormat="false" ht="15" hidden="false" customHeight="false" outlineLevel="0" collapsed="false">
      <c r="A19" s="2" t="s">
        <v>98</v>
      </c>
      <c r="B19" s="13" t="n">
        <f aca="false">SUMIFS(Transactions!$E$2:$E$5000,Transactions!$D$2:$D$5000,"Debt Payment",Transactions!$B$2:$B$5000,"&gt;="&amp;$B$2,Transactions!$B$2:$B$5000,"&lt;="&amp;$B$3)</f>
        <v>0</v>
      </c>
      <c r="C19" s="5" t="s">
        <v>99</v>
      </c>
    </row>
    <row r="20" customFormat="false" ht="15" hidden="false" customHeight="false" outlineLevel="0" collapsed="false">
      <c r="A20" s="2" t="s">
        <v>100</v>
      </c>
      <c r="B20" s="13" t="n">
        <f aca="false">IF(B6=0,0,B16/B6)</f>
        <v>843.333333333333</v>
      </c>
      <c r="C20" s="5" t="s">
        <v>101</v>
      </c>
    </row>
    <row r="21" customFormat="false" ht="15" hidden="false" customHeight="false" outlineLevel="0" collapsed="false">
      <c r="A21" s="2" t="s">
        <v>102</v>
      </c>
      <c r="B21" s="13" t="n">
        <f aca="false">SUM(Commitments!$M$2:$M$101)</f>
        <v>3800</v>
      </c>
      <c r="C21" s="5" t="s">
        <v>103</v>
      </c>
    </row>
    <row r="22" customFormat="false" ht="26.85" hidden="false" customHeight="false" outlineLevel="0" collapsed="false">
      <c r="A22" s="4" t="s">
        <v>104</v>
      </c>
      <c r="B22" s="14" t="n">
        <f aca="false">IF(B6=0,0,B17+B21+B18/B6*B5)</f>
        <v>16564.1666666667</v>
      </c>
      <c r="C22" s="5" t="s">
        <v>105</v>
      </c>
    </row>
    <row r="23" customFormat="false" ht="15" hidden="false" customHeight="false" outlineLevel="0" collapsed="false">
      <c r="A23" s="2"/>
      <c r="B23" s="2"/>
      <c r="C23" s="2"/>
    </row>
    <row r="24" customFormat="false" ht="15" hidden="false" customHeight="false" outlineLevel="0" collapsed="false">
      <c r="A24" s="3" t="s">
        <v>106</v>
      </c>
      <c r="B24" s="2"/>
      <c r="C24" s="5"/>
    </row>
    <row r="25" customFormat="false" ht="15" hidden="false" customHeight="false" outlineLevel="0" collapsed="false">
      <c r="A25" s="2" t="s">
        <v>107</v>
      </c>
      <c r="B25" s="13" t="n">
        <f aca="false">SUMIFS(Transactions!$E$2:$E$5000,Transactions!$D$2:$D$5000,"Savings Transfer",Transactions!$B$2:$B$5000,"&gt;="&amp;$B$2,Transactions!$B$2:$B$5000,"&lt;="&amp;$B$3)</f>
        <v>2000</v>
      </c>
      <c r="C25" s="5"/>
    </row>
    <row r="26" customFormat="false" ht="15" hidden="false" customHeight="false" outlineLevel="0" collapsed="false">
      <c r="A26" s="2" t="s">
        <v>108</v>
      </c>
      <c r="B26" s="13" t="n">
        <f aca="false">SUMIFS(Transactions!$E$2:$E$5000,Transactions!$D$2:$D$5000,"Investment Contribution",Transactions!$B$2:$B$5000,"&gt;="&amp;$B$2,Transactions!$B$2:$B$5000,"&lt;="&amp;$B$3)</f>
        <v>3000</v>
      </c>
      <c r="C26" s="5" t="s">
        <v>109</v>
      </c>
    </row>
    <row r="27" customFormat="false" ht="15" hidden="false" customHeight="false" outlineLevel="0" collapsed="false">
      <c r="A27" s="2" t="s">
        <v>110</v>
      </c>
      <c r="B27" s="13" t="n">
        <f aca="false">SUMIFS(Transactions!$E$2:$E$5000,Transactions!$D$2:$D$5000,"Investment Withdrawal",Transactions!$B$2:$B$5000,"&gt;="&amp;$B$2,Transactions!$B$2:$B$5000,"&lt;="&amp;$B$3)</f>
        <v>0</v>
      </c>
      <c r="C27" s="5"/>
    </row>
    <row r="28" customFormat="false" ht="15" hidden="false" customHeight="false" outlineLevel="0" collapsed="false">
      <c r="A28" s="2" t="s">
        <v>111</v>
      </c>
      <c r="B28" s="13" t="n">
        <f aca="false">SUMIFS(Transactions!$E$2:$E$5000,Transactions!$D$2:$D$5000,"Investment Return",Transactions!$B$2:$B$5000,"&gt;="&amp;$B$2,Transactions!$B$2:$B$5000,"&lt;="&amp;$B$3)</f>
        <v>0</v>
      </c>
      <c r="C28" s="5" t="s">
        <v>112</v>
      </c>
    </row>
    <row r="29" customFormat="false" ht="15" hidden="false" customHeight="false" outlineLevel="0" collapsed="false">
      <c r="A29" s="2" t="s">
        <v>113</v>
      </c>
      <c r="B29" s="13" t="n">
        <f aca="false">B25+B26-B27</f>
        <v>5000</v>
      </c>
      <c r="C29" s="5"/>
    </row>
    <row r="30" customFormat="false" ht="15" hidden="false" customHeight="false" outlineLevel="0" collapsed="false">
      <c r="A30" s="2"/>
      <c r="B30" s="2"/>
      <c r="C30" s="2"/>
    </row>
    <row r="31" customFormat="false" ht="15" hidden="false" customHeight="false" outlineLevel="0" collapsed="false">
      <c r="A31" s="3" t="s">
        <v>114</v>
      </c>
      <c r="B31" s="2"/>
      <c r="C31" s="5"/>
    </row>
    <row r="32" customFormat="false" ht="15" hidden="false" customHeight="false" outlineLevel="0" collapsed="false">
      <c r="A32" s="2" t="s">
        <v>115</v>
      </c>
      <c r="B32" s="13" t="n">
        <f aca="false">B11-B16-B19+B28</f>
        <v>-10120</v>
      </c>
      <c r="C32" s="5" t="s">
        <v>116</v>
      </c>
    </row>
    <row r="33" customFormat="false" ht="15" hidden="false" customHeight="false" outlineLevel="0" collapsed="false">
      <c r="A33" s="4" t="s">
        <v>117</v>
      </c>
      <c r="B33" s="14" t="n">
        <f aca="false">B32-B29</f>
        <v>-15120</v>
      </c>
      <c r="C33" s="5" t="s">
        <v>118</v>
      </c>
    </row>
    <row r="34" customFormat="false" ht="26.85" hidden="false" customHeight="false" outlineLevel="0" collapsed="false">
      <c r="A34" s="2" t="s">
        <v>119</v>
      </c>
      <c r="B34" s="13" t="n">
        <f aca="false">B33-B21-Settings!$B$7</f>
        <v>-23920</v>
      </c>
      <c r="C34" s="5" t="s">
        <v>120</v>
      </c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3" t="s">
        <v>121</v>
      </c>
      <c r="B36" s="2"/>
      <c r="C36" s="5"/>
    </row>
    <row r="37" customFormat="false" ht="26.85" hidden="false" customHeight="false" outlineLevel="0" collapsed="false">
      <c r="A37" s="4" t="s">
        <v>122</v>
      </c>
      <c r="B37" s="15" t="n">
        <f aca="false">IF(B11=0,0,(B11-B16-B19)/B11)</f>
        <v>0</v>
      </c>
      <c r="C37" s="5" t="s">
        <v>123</v>
      </c>
    </row>
    <row r="38" customFormat="false" ht="26.85" hidden="false" customHeight="false" outlineLevel="0" collapsed="false">
      <c r="A38" s="2" t="s">
        <v>124</v>
      </c>
      <c r="B38" s="16" t="n">
        <f aca="false">IF(B11=0,0,B29/B11)</f>
        <v>0</v>
      </c>
      <c r="C38" s="5" t="s">
        <v>125</v>
      </c>
    </row>
    <row r="39" customFormat="false" ht="15" hidden="false" customHeight="false" outlineLevel="0" collapsed="false">
      <c r="A39" s="2"/>
      <c r="B39" s="2"/>
      <c r="C39" s="2"/>
    </row>
    <row r="40" customFormat="false" ht="15" hidden="false" customHeight="false" outlineLevel="0" collapsed="false">
      <c r="A40" s="3" t="s">
        <v>126</v>
      </c>
      <c r="B40" s="2"/>
      <c r="C40" s="5"/>
    </row>
    <row r="41" customFormat="false" ht="15" hidden="false" customHeight="false" outlineLevel="0" collapsed="false">
      <c r="A41" s="2" t="s">
        <v>127</v>
      </c>
      <c r="B41" s="13" t="n">
        <f aca="false">SUMIFS(Transactions!$E$2:$E$5000,Transactions!$D$2:$D$5000,"Expense",Transactions!$B$2:$B$5000,"&gt;="&amp;EDATE($B$2,-1),Transactions!$B$2:$B$5000,"&lt;="&amp;EOMONTH($B$2,-1))-SUMIFS(Transactions!$E$2:$E$5000,Transactions!$D$2:$D$5000,"Refund",Transactions!$B$2:$B$5000,"&gt;="&amp;EDATE($B$2,-1),Transactions!$B$2:$B$5000,"&lt;="&amp;EOMONTH($B$2,-1))</f>
        <v>12200</v>
      </c>
      <c r="C41" s="5"/>
    </row>
    <row r="42" customFormat="false" ht="26.85" hidden="false" customHeight="false" outlineLevel="0" collapsed="false">
      <c r="A42" s="2" t="s">
        <v>128</v>
      </c>
      <c r="B42" s="13" t="n">
        <f aca="false">(SUMIFS(Transactions!$E$2:$E$5000,Transactions!$D$2:$D$5000,"Expense",Transactions!$B$2:$B$5000,"&gt;="&amp;EDATE($B$2,-3),Transactions!$B$2:$B$5000,"&lt;="&amp;EOMONTH($B$2,-1))-SUMIFS(Transactions!$E$2:$E$5000,Transactions!$D$2:$D$5000,"Refund",Transactions!$B$2:$B$5000,"&gt;="&amp;EDATE($B$2,-3),Transactions!$B$2:$B$5000,"&lt;="&amp;EOMONTH($B$2,-1)))/3</f>
        <v>4066.66666666667</v>
      </c>
      <c r="C42" s="5" t="s">
        <v>129</v>
      </c>
    </row>
    <row r="43" customFormat="false" ht="26.85" hidden="false" customHeight="false" outlineLevel="0" collapsed="false">
      <c r="A43" s="2" t="s">
        <v>130</v>
      </c>
      <c r="B43" s="16" t="n">
        <f aca="false">IF(OR(B41=0,B6=0),0,(B16/B6*B5)/B41-1)</f>
        <v>1.14289617486339</v>
      </c>
      <c r="C43" s="5" t="s">
        <v>131</v>
      </c>
    </row>
    <row r="44" customFormat="false" ht="15" hidden="false" customHeight="false" outlineLevel="0" collapsed="false">
      <c r="A44" s="2" t="s">
        <v>132</v>
      </c>
      <c r="B44" s="16" t="n">
        <f aca="false">Budgets!$E$17</f>
        <v>0.34421768707483</v>
      </c>
      <c r="C4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8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20"/>
    <col collapsed="false" customWidth="true" hidden="false" outlineLevel="0" max="15" min="15" style="0" width="11"/>
    <col collapsed="false" customWidth="true" hidden="false" outlineLevel="0" max="17" min="16" style="0" width="18"/>
    <col collapsed="false" customWidth="true" hidden="false" outlineLevel="0" max="18" min="18" style="0" width="36"/>
  </cols>
  <sheetData>
    <row r="1" customFormat="false" ht="30" hidden="false" customHeight="true" outlineLevel="0" collapsed="false">
      <c r="A1" s="6" t="s">
        <v>133</v>
      </c>
      <c r="B1" s="6" t="s">
        <v>134</v>
      </c>
      <c r="C1" s="6" t="s">
        <v>135</v>
      </c>
      <c r="D1" s="6" t="s">
        <v>136</v>
      </c>
      <c r="E1" s="6" t="s">
        <v>137</v>
      </c>
      <c r="F1" s="6" t="s">
        <v>48</v>
      </c>
      <c r="G1" s="6" t="s">
        <v>138</v>
      </c>
      <c r="H1" s="6" t="s">
        <v>139</v>
      </c>
      <c r="I1" s="6" t="s">
        <v>44</v>
      </c>
      <c r="J1" s="6" t="s">
        <v>140</v>
      </c>
      <c r="K1" s="6" t="s">
        <v>141</v>
      </c>
      <c r="L1" s="6" t="s">
        <v>142</v>
      </c>
      <c r="M1" s="6" t="s">
        <v>143</v>
      </c>
      <c r="N1" s="6" t="s">
        <v>144</v>
      </c>
      <c r="O1" s="6" t="s">
        <v>145</v>
      </c>
      <c r="P1" s="6" t="s">
        <v>146</v>
      </c>
      <c r="Q1" s="6" t="s">
        <v>147</v>
      </c>
      <c r="R1" s="6" t="s">
        <v>148</v>
      </c>
    </row>
    <row r="2" customFormat="false" ht="15" hidden="false" customHeight="false" outlineLevel="0" collapsed="false">
      <c r="A2" s="17" t="s">
        <v>149</v>
      </c>
      <c r="B2" s="18" t="n">
        <v>46290</v>
      </c>
      <c r="C2" s="19" t="n">
        <v>0.375</v>
      </c>
      <c r="D2" s="17" t="s">
        <v>13</v>
      </c>
      <c r="E2" s="20" t="n">
        <v>30000</v>
      </c>
      <c r="F2" s="17" t="s">
        <v>49</v>
      </c>
      <c r="G2" s="17" t="s">
        <v>150</v>
      </c>
      <c r="H2" s="17" t="s">
        <v>151</v>
      </c>
      <c r="I2" s="17" t="s">
        <v>152</v>
      </c>
      <c r="J2" s="17" t="s">
        <v>153</v>
      </c>
      <c r="K2" s="17" t="s">
        <v>154</v>
      </c>
      <c r="L2" s="17" t="s">
        <v>155</v>
      </c>
      <c r="M2" s="17" t="s">
        <v>156</v>
      </c>
      <c r="N2" s="17"/>
      <c r="O2" s="17" t="s">
        <v>157</v>
      </c>
      <c r="P2" s="21" t="n">
        <v>46290.375</v>
      </c>
      <c r="Q2" s="17"/>
      <c r="R2" s="17" t="s">
        <v>158</v>
      </c>
    </row>
    <row r="3" customFormat="false" ht="15" hidden="false" customHeight="false" outlineLevel="0" collapsed="false">
      <c r="A3" s="17" t="s">
        <v>159</v>
      </c>
      <c r="B3" s="18" t="n">
        <v>46292</v>
      </c>
      <c r="C3" s="19" t="n">
        <v>0.590277777777778</v>
      </c>
      <c r="D3" s="17" t="s">
        <v>15</v>
      </c>
      <c r="E3" s="20" t="n">
        <v>8000</v>
      </c>
      <c r="F3" s="17" t="s">
        <v>49</v>
      </c>
      <c r="G3" s="17" t="s">
        <v>160</v>
      </c>
      <c r="H3" s="17" t="s">
        <v>161</v>
      </c>
      <c r="I3" s="17" t="s">
        <v>162</v>
      </c>
      <c r="J3" s="17" t="s">
        <v>153</v>
      </c>
      <c r="K3" s="17" t="s">
        <v>154</v>
      </c>
      <c r="L3" s="17" t="s">
        <v>163</v>
      </c>
      <c r="M3" s="17" t="s">
        <v>156</v>
      </c>
      <c r="N3" s="17" t="s">
        <v>164</v>
      </c>
      <c r="O3" s="17" t="s">
        <v>157</v>
      </c>
      <c r="P3" s="21" t="n">
        <v>46292.5902777778</v>
      </c>
      <c r="Q3" s="17"/>
      <c r="R3" s="17" t="s">
        <v>158</v>
      </c>
    </row>
    <row r="4" customFormat="false" ht="15" hidden="false" customHeight="false" outlineLevel="0" collapsed="false">
      <c r="A4" s="17" t="s">
        <v>165</v>
      </c>
      <c r="B4" s="18" t="n">
        <v>46293</v>
      </c>
      <c r="C4" s="19" t="n">
        <v>0.8125</v>
      </c>
      <c r="D4" s="17" t="s">
        <v>15</v>
      </c>
      <c r="E4" s="20" t="n">
        <v>4200</v>
      </c>
      <c r="F4" s="17" t="s">
        <v>49</v>
      </c>
      <c r="G4" s="17" t="s">
        <v>166</v>
      </c>
      <c r="H4" s="17" t="s">
        <v>167</v>
      </c>
      <c r="I4" s="17" t="s">
        <v>168</v>
      </c>
      <c r="J4" s="17" t="s">
        <v>169</v>
      </c>
      <c r="K4" s="17" t="s">
        <v>154</v>
      </c>
      <c r="L4" s="17" t="s">
        <v>170</v>
      </c>
      <c r="M4" s="17" t="s">
        <v>171</v>
      </c>
      <c r="N4" s="17"/>
      <c r="O4" s="17" t="s">
        <v>157</v>
      </c>
      <c r="P4" s="21" t="n">
        <v>46293.8125</v>
      </c>
      <c r="Q4" s="17"/>
      <c r="R4" s="17" t="s">
        <v>158</v>
      </c>
    </row>
    <row r="5" customFormat="false" ht="15" hidden="false" customHeight="false" outlineLevel="0" collapsed="false">
      <c r="A5" s="17" t="s">
        <v>172</v>
      </c>
      <c r="B5" s="18" t="n">
        <v>46297</v>
      </c>
      <c r="C5" s="19" t="n">
        <v>0.364583333333333</v>
      </c>
      <c r="D5" s="17" t="s">
        <v>15</v>
      </c>
      <c r="E5" s="20" t="n">
        <v>350</v>
      </c>
      <c r="F5" s="17" t="s">
        <v>49</v>
      </c>
      <c r="G5" s="17" t="s">
        <v>173</v>
      </c>
      <c r="H5" s="17" t="s">
        <v>174</v>
      </c>
      <c r="I5" s="17" t="s">
        <v>175</v>
      </c>
      <c r="J5" s="17" t="s">
        <v>176</v>
      </c>
      <c r="K5" s="17" t="s">
        <v>177</v>
      </c>
      <c r="L5" s="17"/>
      <c r="M5" s="17" t="s">
        <v>171</v>
      </c>
      <c r="N5" s="17"/>
      <c r="O5" s="17" t="s">
        <v>157</v>
      </c>
      <c r="P5" s="21" t="n">
        <v>46297.3645833333</v>
      </c>
      <c r="Q5" s="17"/>
      <c r="R5" s="17" t="s">
        <v>158</v>
      </c>
    </row>
    <row r="6" customFormat="false" ht="15" hidden="false" customHeight="false" outlineLevel="0" collapsed="false">
      <c r="A6" s="17" t="s">
        <v>178</v>
      </c>
      <c r="B6" s="18" t="n">
        <v>46297</v>
      </c>
      <c r="C6" s="19" t="n">
        <v>0.364583333333333</v>
      </c>
      <c r="D6" s="17" t="s">
        <v>15</v>
      </c>
      <c r="E6" s="20" t="n">
        <v>120</v>
      </c>
      <c r="F6" s="17" t="s">
        <v>49</v>
      </c>
      <c r="G6" s="17" t="s">
        <v>179</v>
      </c>
      <c r="H6" s="17" t="s">
        <v>180</v>
      </c>
      <c r="I6" s="17" t="s">
        <v>180</v>
      </c>
      <c r="J6" s="17" t="s">
        <v>176</v>
      </c>
      <c r="K6" s="17" t="s">
        <v>177</v>
      </c>
      <c r="L6" s="17"/>
      <c r="M6" s="17" t="s">
        <v>171</v>
      </c>
      <c r="N6" s="17"/>
      <c r="O6" s="17" t="s">
        <v>157</v>
      </c>
      <c r="P6" s="21" t="n">
        <v>46297.3645833333</v>
      </c>
      <c r="Q6" s="17"/>
      <c r="R6" s="17" t="s">
        <v>158</v>
      </c>
    </row>
    <row r="7" customFormat="false" ht="15" hidden="false" customHeight="false" outlineLevel="0" collapsed="false">
      <c r="A7" s="17" t="s">
        <v>181</v>
      </c>
      <c r="B7" s="18" t="n">
        <v>46297</v>
      </c>
      <c r="C7" s="19" t="n">
        <v>0.364583333333333</v>
      </c>
      <c r="D7" s="17" t="s">
        <v>15</v>
      </c>
      <c r="E7" s="20" t="n">
        <v>600</v>
      </c>
      <c r="F7" s="17" t="s">
        <v>49</v>
      </c>
      <c r="G7" s="17" t="s">
        <v>166</v>
      </c>
      <c r="H7" s="17" t="s">
        <v>167</v>
      </c>
      <c r="I7" s="17" t="s">
        <v>182</v>
      </c>
      <c r="J7" s="17" t="s">
        <v>176</v>
      </c>
      <c r="K7" s="17" t="s">
        <v>177</v>
      </c>
      <c r="L7" s="17"/>
      <c r="M7" s="17" t="s">
        <v>171</v>
      </c>
      <c r="N7" s="17"/>
      <c r="O7" s="17" t="s">
        <v>157</v>
      </c>
      <c r="P7" s="21" t="n">
        <v>46297.3645833333</v>
      </c>
      <c r="Q7" s="17"/>
      <c r="R7" s="17" t="s">
        <v>158</v>
      </c>
    </row>
    <row r="8" customFormat="false" ht="15" hidden="false" customHeight="false" outlineLevel="0" collapsed="false">
      <c r="A8" s="17" t="s">
        <v>183</v>
      </c>
      <c r="B8" s="18" t="n">
        <v>46298</v>
      </c>
      <c r="C8" s="19" t="n">
        <v>0.5</v>
      </c>
      <c r="D8" s="17" t="s">
        <v>15</v>
      </c>
      <c r="E8" s="20" t="n">
        <v>8000</v>
      </c>
      <c r="F8" s="17" t="s">
        <v>49</v>
      </c>
      <c r="G8" s="17" t="s">
        <v>160</v>
      </c>
      <c r="H8" s="17" t="s">
        <v>161</v>
      </c>
      <c r="I8" s="17" t="s">
        <v>162</v>
      </c>
      <c r="J8" s="17" t="s">
        <v>153</v>
      </c>
      <c r="K8" s="17" t="s">
        <v>154</v>
      </c>
      <c r="L8" s="17" t="s">
        <v>163</v>
      </c>
      <c r="M8" s="17" t="s">
        <v>156</v>
      </c>
      <c r="N8" s="17" t="s">
        <v>164</v>
      </c>
      <c r="O8" s="17" t="s">
        <v>157</v>
      </c>
      <c r="P8" s="21" t="n">
        <v>46298.5</v>
      </c>
      <c r="Q8" s="17"/>
      <c r="R8" s="17" t="s">
        <v>158</v>
      </c>
    </row>
    <row r="9" customFormat="false" ht="15" hidden="false" customHeight="false" outlineLevel="0" collapsed="false">
      <c r="A9" s="17" t="s">
        <v>184</v>
      </c>
      <c r="B9" s="18" t="n">
        <v>46299</v>
      </c>
      <c r="C9" s="19" t="n">
        <v>0.885416666666667</v>
      </c>
      <c r="D9" s="17" t="s">
        <v>15</v>
      </c>
      <c r="E9" s="20" t="n">
        <v>450</v>
      </c>
      <c r="F9" s="17" t="s">
        <v>49</v>
      </c>
      <c r="G9" s="17" t="s">
        <v>185</v>
      </c>
      <c r="H9" s="17" t="s">
        <v>186</v>
      </c>
      <c r="I9" s="17" t="s">
        <v>187</v>
      </c>
      <c r="J9" s="17" t="s">
        <v>188</v>
      </c>
      <c r="K9" s="17" t="s">
        <v>154</v>
      </c>
      <c r="L9" s="17" t="s">
        <v>189</v>
      </c>
      <c r="M9" s="17" t="s">
        <v>156</v>
      </c>
      <c r="N9" s="17" t="s">
        <v>190</v>
      </c>
      <c r="O9" s="17" t="s">
        <v>157</v>
      </c>
      <c r="P9" s="21" t="n">
        <v>46299.8854166667</v>
      </c>
      <c r="Q9" s="17"/>
      <c r="R9" s="17" t="s">
        <v>158</v>
      </c>
    </row>
    <row r="10" customFormat="false" ht="15" hidden="false" customHeight="false" outlineLevel="0" collapsed="false">
      <c r="A10" s="17" t="s">
        <v>191</v>
      </c>
      <c r="B10" s="18" t="n">
        <v>46300</v>
      </c>
      <c r="C10" s="19" t="n">
        <v>0.416666666666667</v>
      </c>
      <c r="D10" s="17" t="s">
        <v>23</v>
      </c>
      <c r="E10" s="20" t="n">
        <v>3000</v>
      </c>
      <c r="F10" s="17" t="s">
        <v>49</v>
      </c>
      <c r="G10" s="17" t="s">
        <v>192</v>
      </c>
      <c r="H10" s="17" t="s">
        <v>32</v>
      </c>
      <c r="I10" s="17" t="s">
        <v>193</v>
      </c>
      <c r="J10" s="17" t="s">
        <v>188</v>
      </c>
      <c r="K10" s="17" t="s">
        <v>154</v>
      </c>
      <c r="L10" s="17" t="s">
        <v>32</v>
      </c>
      <c r="M10" s="17" t="s">
        <v>171</v>
      </c>
      <c r="N10" s="17"/>
      <c r="O10" s="17" t="s">
        <v>157</v>
      </c>
      <c r="P10" s="21" t="n">
        <v>46300.4166666667</v>
      </c>
      <c r="Q10" s="17"/>
      <c r="R10" s="17" t="s">
        <v>158</v>
      </c>
    </row>
    <row r="11" customFormat="false" ht="15" hidden="false" customHeight="false" outlineLevel="0" collapsed="false">
      <c r="A11" s="17" t="s">
        <v>194</v>
      </c>
      <c r="B11" s="18" t="n">
        <v>46300</v>
      </c>
      <c r="C11" s="19" t="n">
        <v>0.420138888888889</v>
      </c>
      <c r="D11" s="17" t="s">
        <v>21</v>
      </c>
      <c r="E11" s="20" t="n">
        <v>2000</v>
      </c>
      <c r="F11" s="17" t="s">
        <v>49</v>
      </c>
      <c r="G11" s="17" t="s">
        <v>195</v>
      </c>
      <c r="H11" s="17" t="s">
        <v>196</v>
      </c>
      <c r="I11" s="17" t="s">
        <v>197</v>
      </c>
      <c r="J11" s="17" t="s">
        <v>153</v>
      </c>
      <c r="K11" s="17" t="s">
        <v>154</v>
      </c>
      <c r="L11" s="17"/>
      <c r="M11" s="17" t="s">
        <v>171</v>
      </c>
      <c r="N11" s="17"/>
      <c r="O11" s="17" t="s">
        <v>157</v>
      </c>
      <c r="P11" s="21" t="n">
        <v>46300.4201388889</v>
      </c>
      <c r="Q11" s="17"/>
      <c r="R11" s="17" t="s">
        <v>158</v>
      </c>
    </row>
    <row r="12" customFormat="false" ht="15" hidden="false" customHeight="false" outlineLevel="0" collapsed="false">
      <c r="A12" s="17" t="s">
        <v>198</v>
      </c>
      <c r="B12" s="18" t="n">
        <v>46301</v>
      </c>
      <c r="C12" s="19" t="n">
        <v>0.694444444444444</v>
      </c>
      <c r="D12" s="17" t="s">
        <v>15</v>
      </c>
      <c r="E12" s="20" t="n">
        <v>900</v>
      </c>
      <c r="F12" s="17" t="s">
        <v>49</v>
      </c>
      <c r="G12" s="17" t="s">
        <v>199</v>
      </c>
      <c r="H12" s="17" t="s">
        <v>200</v>
      </c>
      <c r="I12" s="17" t="s">
        <v>201</v>
      </c>
      <c r="J12" s="17" t="s">
        <v>169</v>
      </c>
      <c r="K12" s="17" t="s">
        <v>154</v>
      </c>
      <c r="L12" s="17" t="s">
        <v>202</v>
      </c>
      <c r="M12" s="17" t="s">
        <v>171</v>
      </c>
      <c r="N12" s="17"/>
      <c r="O12" s="17" t="s">
        <v>157</v>
      </c>
      <c r="P12" s="21" t="n">
        <v>46301.6944444445</v>
      </c>
      <c r="Q12" s="17"/>
      <c r="R12" s="17" t="s">
        <v>158</v>
      </c>
    </row>
    <row r="13" customFormat="false" ht="15" hidden="false" customHeight="false" outlineLevel="0" collapsed="false">
      <c r="A13" s="17" t="s">
        <v>203</v>
      </c>
      <c r="B13" s="18" t="n">
        <v>46302</v>
      </c>
      <c r="C13" s="19" t="n">
        <v>0.472222222222222</v>
      </c>
      <c r="D13" s="17" t="s">
        <v>17</v>
      </c>
      <c r="E13" s="20" t="n">
        <v>300</v>
      </c>
      <c r="F13" s="17" t="s">
        <v>49</v>
      </c>
      <c r="G13" s="17" t="s">
        <v>199</v>
      </c>
      <c r="H13" s="17" t="s">
        <v>200</v>
      </c>
      <c r="I13" s="17" t="s">
        <v>204</v>
      </c>
      <c r="J13" s="17" t="s">
        <v>169</v>
      </c>
      <c r="K13" s="17" t="s">
        <v>154</v>
      </c>
      <c r="L13" s="17" t="s">
        <v>202</v>
      </c>
      <c r="M13" s="17" t="s">
        <v>171</v>
      </c>
      <c r="N13" s="17" t="s">
        <v>198</v>
      </c>
      <c r="O13" s="17" t="s">
        <v>157</v>
      </c>
      <c r="P13" s="21" t="n">
        <v>46302.4722222222</v>
      </c>
      <c r="Q13" s="17"/>
      <c r="R13" s="17" t="s">
        <v>158</v>
      </c>
    </row>
    <row r="14" customFormat="false" ht="15" hidden="false" customHeight="false" outlineLevel="0" collapsed="false">
      <c r="A14" s="17" t="s">
        <v>205</v>
      </c>
      <c r="B14" s="18" t="n">
        <v>46303</v>
      </c>
      <c r="C14" s="19" t="n">
        <v>0.541666666666667</v>
      </c>
      <c r="D14" s="17" t="s">
        <v>29</v>
      </c>
      <c r="E14" s="20" t="n">
        <v>2000</v>
      </c>
      <c r="F14" s="17" t="s">
        <v>49</v>
      </c>
      <c r="G14" s="17" t="s">
        <v>206</v>
      </c>
      <c r="H14" s="17" t="s">
        <v>207</v>
      </c>
      <c r="I14" s="17" t="s">
        <v>208</v>
      </c>
      <c r="J14" s="17" t="s">
        <v>176</v>
      </c>
      <c r="K14" s="17" t="s">
        <v>154</v>
      </c>
      <c r="L14" s="17"/>
      <c r="M14" s="17" t="s">
        <v>171</v>
      </c>
      <c r="N14" s="17"/>
      <c r="O14" s="17" t="s">
        <v>157</v>
      </c>
      <c r="P14" s="21" t="n">
        <v>46303.5416666667</v>
      </c>
      <c r="Q14" s="17"/>
      <c r="R14" s="17" t="s">
        <v>158</v>
      </c>
    </row>
  </sheetData>
  <dataValidations count="7">
    <dataValidation allowBlank="true" error="Pick a value from the dropdown list." errorStyle="stop" errorTitle="Invalid value" operator="between" showDropDown="false" showErrorMessage="true" showInputMessage="false" sqref="D2:D1014" type="list">
      <formula1>Lists!$A$2:$A$10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F2:F1014" type="list">
      <formula1>Lists!$D$2:$D$6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G2:G1014" type="list">
      <formula1>Lists!$F$2:$F$22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J2:J1014" type="list">
      <formula1>Lists!$B$2:$B$8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M2:M1014" type="list">
      <formula1>Lists!$E$2:$E$3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O2:O1014" type="list">
      <formula1>Lists!$C$2:$C$6</formula1>
      <formula2>0</formula2>
    </dataValidation>
    <dataValidation allowBlank="true" error="Amounts are always positive. The Transaction_Type sets the direction." errorStyle="stop" operator="greaterThan" showDropDown="false" showErrorMessage="true" showInputMessage="false" sqref="E2:E101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3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36"/>
  </cols>
  <sheetData>
    <row r="1" customFormat="false" ht="30" hidden="false" customHeight="true" outlineLevel="0" collapsed="false">
      <c r="A1" s="6" t="s">
        <v>209</v>
      </c>
      <c r="B1" s="6" t="s">
        <v>210</v>
      </c>
      <c r="C1" s="6" t="s">
        <v>138</v>
      </c>
      <c r="D1" s="6" t="s">
        <v>211</v>
      </c>
      <c r="E1" s="6" t="s">
        <v>212</v>
      </c>
      <c r="F1" s="6" t="s">
        <v>213</v>
      </c>
      <c r="G1" s="6" t="s">
        <v>214</v>
      </c>
      <c r="H1" s="6" t="s">
        <v>215</v>
      </c>
      <c r="I1" s="6" t="s">
        <v>216</v>
      </c>
      <c r="J1" s="6" t="s">
        <v>217</v>
      </c>
      <c r="K1" s="6" t="s">
        <v>144</v>
      </c>
      <c r="L1" s="6" t="s">
        <v>218</v>
      </c>
      <c r="M1" s="6" t="s">
        <v>219</v>
      </c>
      <c r="N1" s="6" t="s">
        <v>148</v>
      </c>
    </row>
    <row r="2" customFormat="false" ht="15" hidden="false" customHeight="false" outlineLevel="0" collapsed="false">
      <c r="A2" s="17" t="s">
        <v>164</v>
      </c>
      <c r="B2" s="17" t="s">
        <v>161</v>
      </c>
      <c r="C2" s="17" t="s">
        <v>160</v>
      </c>
      <c r="D2" s="22" t="n">
        <v>8000</v>
      </c>
      <c r="E2" s="17" t="n">
        <v>1</v>
      </c>
      <c r="F2" s="17" t="s">
        <v>220</v>
      </c>
      <c r="G2" s="18" t="n">
        <v>46023</v>
      </c>
      <c r="H2" s="18"/>
      <c r="I2" s="17" t="s">
        <v>221</v>
      </c>
      <c r="J2" s="2" t="str">
        <f aca="true">IF(A2="","",IF(I2&lt;&gt;"Active","Inactive",IF(L2&gt;=D2,"Paid",IF(L2&gt;0,"Partial",IF(DATE(YEAR(Settings!$B$4),MONTH(Settings!$B$4),MIN(E2,DAY(EOMONTH(Settings!$B$4,0))))&lt;TODAY(),"Overdue","Expected")))))</f>
        <v>Paid</v>
      </c>
      <c r="K2" s="17" t="s">
        <v>183</v>
      </c>
      <c r="L2" s="13" t="n">
        <f aca="false">IF(A2="","",SUMIFS(Transactions!$E$2:$E$5000,Transactions!$N$2:$N$5000,A2,Transactions!$B$2:$B$5000,"&gt;="&amp;Settings!$B$4,Transactions!$B$2:$B$5000,"&lt;="&amp;EOMONTH(Settings!$B$4,0))-SUMIFS(Transactions!$E$2:$E$5000,Transactions!$N$2:$N$5000,A2,Transactions!$D$2:$D$5000,"Refund",Transactions!$B$2:$B$5000,"&gt;="&amp;Settings!$B$4,Transactions!$B$2:$B$5000,"&lt;="&amp;EOMONTH(Settings!$B$4,0)))</f>
        <v>8000</v>
      </c>
      <c r="M2" s="13" t="n">
        <f aca="false">IF(A2="","",IF(I2="Active",MAX(0,D2-L2),0))</f>
        <v>0</v>
      </c>
      <c r="N2" s="17" t="s">
        <v>222</v>
      </c>
    </row>
    <row r="3" customFormat="false" ht="15" hidden="false" customHeight="false" outlineLevel="0" collapsed="false">
      <c r="A3" s="17" t="s">
        <v>190</v>
      </c>
      <c r="B3" s="17" t="s">
        <v>187</v>
      </c>
      <c r="C3" s="17" t="s">
        <v>185</v>
      </c>
      <c r="D3" s="22" t="n">
        <v>450</v>
      </c>
      <c r="E3" s="17" t="n">
        <v>5</v>
      </c>
      <c r="F3" s="17" t="s">
        <v>220</v>
      </c>
      <c r="G3" s="18" t="n">
        <v>46023</v>
      </c>
      <c r="H3" s="18"/>
      <c r="I3" s="17" t="s">
        <v>221</v>
      </c>
      <c r="J3" s="2" t="str">
        <f aca="true">IF(A3="","",IF(I3&lt;&gt;"Active","Inactive",IF(L3&gt;=D3,"Paid",IF(L3&gt;0,"Partial",IF(DATE(YEAR(Settings!$B$4),MONTH(Settings!$B$4),MIN(E3,DAY(EOMONTH(Settings!$B$4,0))))&lt;TODAY(),"Overdue","Expected")))))</f>
        <v>Paid</v>
      </c>
      <c r="K3" s="17" t="s">
        <v>184</v>
      </c>
      <c r="L3" s="13" t="n">
        <f aca="false">IF(A3="","",SUMIFS(Transactions!$E$2:$E$5000,Transactions!$N$2:$N$5000,A3,Transactions!$B$2:$B$5000,"&gt;="&amp;Settings!$B$4,Transactions!$B$2:$B$5000,"&lt;="&amp;EOMONTH(Settings!$B$4,0))-SUMIFS(Transactions!$E$2:$E$5000,Transactions!$N$2:$N$5000,A3,Transactions!$D$2:$D$5000,"Refund",Transactions!$B$2:$B$5000,"&gt;="&amp;Settings!$B$4,Transactions!$B$2:$B$5000,"&lt;="&amp;EOMONTH(Settings!$B$4,0)))</f>
        <v>450</v>
      </c>
      <c r="M3" s="13" t="n">
        <f aca="false">IF(A3="","",IF(I3="Active",MAX(0,D3-L3),0))</f>
        <v>0</v>
      </c>
      <c r="N3" s="17" t="s">
        <v>222</v>
      </c>
    </row>
    <row r="4" customFormat="false" ht="15" hidden="false" customHeight="false" outlineLevel="0" collapsed="false">
      <c r="A4" s="17" t="s">
        <v>223</v>
      </c>
      <c r="B4" s="17" t="s">
        <v>224</v>
      </c>
      <c r="C4" s="17" t="s">
        <v>185</v>
      </c>
      <c r="D4" s="22" t="n">
        <v>300</v>
      </c>
      <c r="E4" s="17" t="n">
        <v>10</v>
      </c>
      <c r="F4" s="17" t="s">
        <v>220</v>
      </c>
      <c r="G4" s="18" t="n">
        <v>46023</v>
      </c>
      <c r="H4" s="18"/>
      <c r="I4" s="17" t="s">
        <v>221</v>
      </c>
      <c r="J4" s="2" t="str">
        <f aca="true">IF(A4="","",IF(I4&lt;&gt;"Active","Inactive",IF(L4&gt;=D4,"Paid",IF(L4&gt;0,"Partial",IF(DATE(YEAR(Settings!$B$4),MONTH(Settings!$B$4),MIN(E4,DAY(EOMONTH(Settings!$B$4,0))))&lt;TODAY(),"Overdue","Expected")))))</f>
        <v>Overdue</v>
      </c>
      <c r="K4" s="17"/>
      <c r="L4" s="13" t="n">
        <f aca="false">IF(A4="","",SUMIFS(Transactions!$E$2:$E$5000,Transactions!$N$2:$N$5000,A4,Transactions!$B$2:$B$5000,"&gt;="&amp;Settings!$B$4,Transactions!$B$2:$B$5000,"&lt;="&amp;EOMONTH(Settings!$B$4,0))-SUMIFS(Transactions!$E$2:$E$5000,Transactions!$N$2:$N$5000,A4,Transactions!$D$2:$D$5000,"Refund",Transactions!$B$2:$B$5000,"&gt;="&amp;Settings!$B$4,Transactions!$B$2:$B$5000,"&lt;="&amp;EOMONTH(Settings!$B$4,0)))</f>
        <v>0</v>
      </c>
      <c r="M4" s="13" t="n">
        <f aca="false">IF(A4="","",IF(I4="Active",MAX(0,D4-L4),0))</f>
        <v>300</v>
      </c>
      <c r="N4" s="17" t="s">
        <v>222</v>
      </c>
    </row>
    <row r="5" customFormat="false" ht="15" hidden="false" customHeight="false" outlineLevel="0" collapsed="false">
      <c r="A5" s="17" t="s">
        <v>225</v>
      </c>
      <c r="B5" s="17" t="s">
        <v>226</v>
      </c>
      <c r="C5" s="17" t="s">
        <v>227</v>
      </c>
      <c r="D5" s="22" t="n">
        <v>3500</v>
      </c>
      <c r="E5" s="17" t="n">
        <v>15</v>
      </c>
      <c r="F5" s="17" t="s">
        <v>220</v>
      </c>
      <c r="G5" s="18" t="n">
        <v>46023</v>
      </c>
      <c r="H5" s="18" t="n">
        <v>46752</v>
      </c>
      <c r="I5" s="17" t="s">
        <v>221</v>
      </c>
      <c r="J5" s="2" t="str">
        <f aca="true">IF(A5="","",IF(I5&lt;&gt;"Active","Inactive",IF(L5&gt;=D5,"Paid",IF(L5&gt;0,"Partial",IF(DATE(YEAR(Settings!$B$4),MONTH(Settings!$B$4),MIN(E5,DAY(EOMONTH(Settings!$B$4,0))))&lt;TODAY(),"Overdue","Expected")))))</f>
        <v>Expected</v>
      </c>
      <c r="K5" s="17"/>
      <c r="L5" s="13" t="n">
        <f aca="false">IF(A5="","",SUMIFS(Transactions!$E$2:$E$5000,Transactions!$N$2:$N$5000,A5,Transactions!$B$2:$B$5000,"&gt;="&amp;Settings!$B$4,Transactions!$B$2:$B$5000,"&lt;="&amp;EOMONTH(Settings!$B$4,0))-SUMIFS(Transactions!$E$2:$E$5000,Transactions!$N$2:$N$5000,A5,Transactions!$D$2:$D$5000,"Refund",Transactions!$B$2:$B$5000,"&gt;="&amp;Settings!$B$4,Transactions!$B$2:$B$5000,"&lt;="&amp;EOMONTH(Settings!$B$4,0)))</f>
        <v>0</v>
      </c>
      <c r="M5" s="13" t="n">
        <f aca="false">IF(A5="","",IF(I5="Active",MAX(0,D5-L5),0))</f>
        <v>3500</v>
      </c>
      <c r="N5" s="17" t="s">
        <v>222</v>
      </c>
    </row>
    <row r="6" customFormat="false" ht="15" hidden="false" customHeight="false" outlineLevel="0" collapsed="false">
      <c r="A6" s="2"/>
      <c r="B6" s="2"/>
      <c r="C6" s="2"/>
      <c r="D6" s="13"/>
      <c r="E6" s="2"/>
      <c r="F6" s="2"/>
      <c r="G6" s="11"/>
      <c r="H6" s="11"/>
      <c r="I6" s="2"/>
      <c r="J6" s="2" t="str">
        <f aca="true">IF(A6="","",IF(I6&lt;&gt;"Active","Inactive",IF(L6&gt;=D6,"Paid",IF(L6&gt;0,"Partial",IF(DATE(YEAR(Settings!$B$4),MONTH(Settings!$B$4),MIN(E6,DAY(EOMONTH(Settings!$B$4,0))))&lt;TODAY(),"Overdue","Expected")))))</f>
        <v/>
      </c>
      <c r="K6" s="2"/>
      <c r="L6" s="13" t="str">
        <f aca="false">IF(A6="","",SUMIFS(Transactions!$E$2:$E$5000,Transactions!$N$2:$N$5000,A6,Transactions!$B$2:$B$5000,"&gt;="&amp;Settings!$B$4,Transactions!$B$2:$B$5000,"&lt;="&amp;EOMONTH(Settings!$B$4,0))-SUMIFS(Transactions!$E$2:$E$5000,Transactions!$N$2:$N$5000,A6,Transactions!$D$2:$D$5000,"Refund",Transactions!$B$2:$B$5000,"&gt;="&amp;Settings!$B$4,Transactions!$B$2:$B$5000,"&lt;="&amp;EOMONTH(Settings!$B$4,0)))</f>
        <v/>
      </c>
      <c r="M6" s="13" t="str">
        <f aca="false">IF(A6="","",IF(I6="Active",MAX(0,D6-L6),0))</f>
        <v/>
      </c>
      <c r="N6" s="2"/>
    </row>
    <row r="7" customFormat="false" ht="15" hidden="false" customHeight="false" outlineLevel="0" collapsed="false">
      <c r="A7" s="2"/>
      <c r="B7" s="2"/>
      <c r="C7" s="2"/>
      <c r="D7" s="13"/>
      <c r="E7" s="2"/>
      <c r="F7" s="2"/>
      <c r="G7" s="11"/>
      <c r="H7" s="11"/>
      <c r="I7" s="2"/>
      <c r="J7" s="2" t="str">
        <f aca="true">IF(A7="","",IF(I7&lt;&gt;"Active","Inactive",IF(L7&gt;=D7,"Paid",IF(L7&gt;0,"Partial",IF(DATE(YEAR(Settings!$B$4),MONTH(Settings!$B$4),MIN(E7,DAY(EOMONTH(Settings!$B$4,0))))&lt;TODAY(),"Overdue","Expected")))))</f>
        <v/>
      </c>
      <c r="K7" s="2"/>
      <c r="L7" s="13" t="str">
        <f aca="false">IF(A7="","",SUMIFS(Transactions!$E$2:$E$5000,Transactions!$N$2:$N$5000,A7,Transactions!$B$2:$B$5000,"&gt;="&amp;Settings!$B$4,Transactions!$B$2:$B$5000,"&lt;="&amp;EOMONTH(Settings!$B$4,0))-SUMIFS(Transactions!$E$2:$E$5000,Transactions!$N$2:$N$5000,A7,Transactions!$D$2:$D$5000,"Refund",Transactions!$B$2:$B$5000,"&gt;="&amp;Settings!$B$4,Transactions!$B$2:$B$5000,"&lt;="&amp;EOMONTH(Settings!$B$4,0)))</f>
        <v/>
      </c>
      <c r="M7" s="13" t="str">
        <f aca="false">IF(A7="","",IF(I7="Active",MAX(0,D7-L7),0))</f>
        <v/>
      </c>
      <c r="N7" s="2"/>
    </row>
    <row r="8" customFormat="false" ht="15" hidden="false" customHeight="false" outlineLevel="0" collapsed="false">
      <c r="A8" s="2"/>
      <c r="B8" s="2"/>
      <c r="C8" s="2"/>
      <c r="D8" s="13"/>
      <c r="E8" s="2"/>
      <c r="F8" s="2"/>
      <c r="G8" s="11"/>
      <c r="H8" s="11"/>
      <c r="I8" s="2"/>
      <c r="J8" s="2" t="str">
        <f aca="true">IF(A8="","",IF(I8&lt;&gt;"Active","Inactive",IF(L8&gt;=D8,"Paid",IF(L8&gt;0,"Partial",IF(DATE(YEAR(Settings!$B$4),MONTH(Settings!$B$4),MIN(E8,DAY(EOMONTH(Settings!$B$4,0))))&lt;TODAY(),"Overdue","Expected")))))</f>
        <v/>
      </c>
      <c r="K8" s="2"/>
      <c r="L8" s="13" t="str">
        <f aca="false">IF(A8="","",SUMIFS(Transactions!$E$2:$E$5000,Transactions!$N$2:$N$5000,A8,Transactions!$B$2:$B$5000,"&gt;="&amp;Settings!$B$4,Transactions!$B$2:$B$5000,"&lt;="&amp;EOMONTH(Settings!$B$4,0))-SUMIFS(Transactions!$E$2:$E$5000,Transactions!$N$2:$N$5000,A8,Transactions!$D$2:$D$5000,"Refund",Transactions!$B$2:$B$5000,"&gt;="&amp;Settings!$B$4,Transactions!$B$2:$B$5000,"&lt;="&amp;EOMONTH(Settings!$B$4,0)))</f>
        <v/>
      </c>
      <c r="M8" s="13" t="str">
        <f aca="false">IF(A8="","",IF(I8="Active",MAX(0,D8-L8),0))</f>
        <v/>
      </c>
      <c r="N8" s="2"/>
    </row>
    <row r="9" customFormat="false" ht="15" hidden="false" customHeight="false" outlineLevel="0" collapsed="false">
      <c r="A9" s="2"/>
      <c r="B9" s="2"/>
      <c r="C9" s="2"/>
      <c r="D9" s="13"/>
      <c r="E9" s="2"/>
      <c r="F9" s="2"/>
      <c r="G9" s="11"/>
      <c r="H9" s="11"/>
      <c r="I9" s="2"/>
      <c r="J9" s="2" t="str">
        <f aca="true">IF(A9="","",IF(I9&lt;&gt;"Active","Inactive",IF(L9&gt;=D9,"Paid",IF(L9&gt;0,"Partial",IF(DATE(YEAR(Settings!$B$4),MONTH(Settings!$B$4),MIN(E9,DAY(EOMONTH(Settings!$B$4,0))))&lt;TODAY(),"Overdue","Expected")))))</f>
        <v/>
      </c>
      <c r="K9" s="2"/>
      <c r="L9" s="13" t="str">
        <f aca="false">IF(A9="","",SUMIFS(Transactions!$E$2:$E$5000,Transactions!$N$2:$N$5000,A9,Transactions!$B$2:$B$5000,"&gt;="&amp;Settings!$B$4,Transactions!$B$2:$B$5000,"&lt;="&amp;EOMONTH(Settings!$B$4,0))-SUMIFS(Transactions!$E$2:$E$5000,Transactions!$N$2:$N$5000,A9,Transactions!$D$2:$D$5000,"Refund",Transactions!$B$2:$B$5000,"&gt;="&amp;Settings!$B$4,Transactions!$B$2:$B$5000,"&lt;="&amp;EOMONTH(Settings!$B$4,0)))</f>
        <v/>
      </c>
      <c r="M9" s="13" t="str">
        <f aca="false">IF(A9="","",IF(I9="Active",MAX(0,D9-L9),0))</f>
        <v/>
      </c>
      <c r="N9" s="2"/>
    </row>
    <row r="10" customFormat="false" ht="15" hidden="false" customHeight="false" outlineLevel="0" collapsed="false">
      <c r="A10" s="2"/>
      <c r="B10" s="2"/>
      <c r="C10" s="2"/>
      <c r="D10" s="13"/>
      <c r="E10" s="2"/>
      <c r="F10" s="2"/>
      <c r="G10" s="11"/>
      <c r="H10" s="11"/>
      <c r="I10" s="2"/>
      <c r="J10" s="2" t="str">
        <f aca="true">IF(A10="","",IF(I10&lt;&gt;"Active","Inactive",IF(L10&gt;=D10,"Paid",IF(L10&gt;0,"Partial",IF(DATE(YEAR(Settings!$B$4),MONTH(Settings!$B$4),MIN(E10,DAY(EOMONTH(Settings!$B$4,0))))&lt;TODAY(),"Overdue","Expected")))))</f>
        <v/>
      </c>
      <c r="K10" s="2"/>
      <c r="L10" s="13" t="str">
        <f aca="false">IF(A10="","",SUMIFS(Transactions!$E$2:$E$5000,Transactions!$N$2:$N$5000,A10,Transactions!$B$2:$B$5000,"&gt;="&amp;Settings!$B$4,Transactions!$B$2:$B$5000,"&lt;="&amp;EOMONTH(Settings!$B$4,0))-SUMIFS(Transactions!$E$2:$E$5000,Transactions!$N$2:$N$5000,A10,Transactions!$D$2:$D$5000,"Refund",Transactions!$B$2:$B$5000,"&gt;="&amp;Settings!$B$4,Transactions!$B$2:$B$5000,"&lt;="&amp;EOMONTH(Settings!$B$4,0)))</f>
        <v/>
      </c>
      <c r="M10" s="13" t="str">
        <f aca="false">IF(A10="","",IF(I10="Active",MAX(0,D10-L10),0))</f>
        <v/>
      </c>
      <c r="N10" s="2"/>
    </row>
    <row r="11" customFormat="false" ht="15" hidden="false" customHeight="false" outlineLevel="0" collapsed="false">
      <c r="A11" s="2"/>
      <c r="B11" s="2"/>
      <c r="C11" s="2"/>
      <c r="D11" s="13"/>
      <c r="E11" s="2"/>
      <c r="F11" s="2"/>
      <c r="G11" s="11"/>
      <c r="H11" s="11"/>
      <c r="I11" s="2"/>
      <c r="J11" s="2" t="str">
        <f aca="true">IF(A11="","",IF(I11&lt;&gt;"Active","Inactive",IF(L11&gt;=D11,"Paid",IF(L11&gt;0,"Partial",IF(DATE(YEAR(Settings!$B$4),MONTH(Settings!$B$4),MIN(E11,DAY(EOMONTH(Settings!$B$4,0))))&lt;TODAY(),"Overdue","Expected")))))</f>
        <v/>
      </c>
      <c r="K11" s="2"/>
      <c r="L11" s="13" t="str">
        <f aca="false">IF(A11="","",SUMIFS(Transactions!$E$2:$E$5000,Transactions!$N$2:$N$5000,A11,Transactions!$B$2:$B$5000,"&gt;="&amp;Settings!$B$4,Transactions!$B$2:$B$5000,"&lt;="&amp;EOMONTH(Settings!$B$4,0))-SUMIFS(Transactions!$E$2:$E$5000,Transactions!$N$2:$N$5000,A11,Transactions!$D$2:$D$5000,"Refund",Transactions!$B$2:$B$5000,"&gt;="&amp;Settings!$B$4,Transactions!$B$2:$B$5000,"&lt;="&amp;EOMONTH(Settings!$B$4,0)))</f>
        <v/>
      </c>
      <c r="M11" s="13" t="str">
        <f aca="false">IF(A11="","",IF(I11="Active",MAX(0,D11-L11),0))</f>
        <v/>
      </c>
      <c r="N11" s="2"/>
    </row>
    <row r="12" customFormat="false" ht="15" hidden="false" customHeight="false" outlineLevel="0" collapsed="false">
      <c r="A12" s="2"/>
      <c r="B12" s="2"/>
      <c r="C12" s="2"/>
      <c r="D12" s="13"/>
      <c r="E12" s="2"/>
      <c r="F12" s="2"/>
      <c r="G12" s="11"/>
      <c r="H12" s="11"/>
      <c r="I12" s="2"/>
      <c r="J12" s="2" t="str">
        <f aca="true">IF(A12="","",IF(I12&lt;&gt;"Active","Inactive",IF(L12&gt;=D12,"Paid",IF(L12&gt;0,"Partial",IF(DATE(YEAR(Settings!$B$4),MONTH(Settings!$B$4),MIN(E12,DAY(EOMONTH(Settings!$B$4,0))))&lt;TODAY(),"Overdue","Expected")))))</f>
        <v/>
      </c>
      <c r="K12" s="2"/>
      <c r="L12" s="13" t="str">
        <f aca="false">IF(A12="","",SUMIFS(Transactions!$E$2:$E$5000,Transactions!$N$2:$N$5000,A12,Transactions!$B$2:$B$5000,"&gt;="&amp;Settings!$B$4,Transactions!$B$2:$B$5000,"&lt;="&amp;EOMONTH(Settings!$B$4,0))-SUMIFS(Transactions!$E$2:$E$5000,Transactions!$N$2:$N$5000,A12,Transactions!$D$2:$D$5000,"Refund",Transactions!$B$2:$B$5000,"&gt;="&amp;Settings!$B$4,Transactions!$B$2:$B$5000,"&lt;="&amp;EOMONTH(Settings!$B$4,0)))</f>
        <v/>
      </c>
      <c r="M12" s="13" t="str">
        <f aca="false">IF(A12="","",IF(I12="Active",MAX(0,D12-L12),0))</f>
        <v/>
      </c>
      <c r="N12" s="2"/>
    </row>
    <row r="13" customFormat="false" ht="15" hidden="false" customHeight="false" outlineLevel="0" collapsed="false">
      <c r="A13" s="2"/>
      <c r="B13" s="2"/>
      <c r="C13" s="2"/>
      <c r="D13" s="13"/>
      <c r="E13" s="2"/>
      <c r="F13" s="2"/>
      <c r="G13" s="11"/>
      <c r="H13" s="11"/>
      <c r="I13" s="2"/>
      <c r="J13" s="2" t="str">
        <f aca="true">IF(A13="","",IF(I13&lt;&gt;"Active","Inactive",IF(L13&gt;=D13,"Paid",IF(L13&gt;0,"Partial",IF(DATE(YEAR(Settings!$B$4),MONTH(Settings!$B$4),MIN(E13,DAY(EOMONTH(Settings!$B$4,0))))&lt;TODAY(),"Overdue","Expected")))))</f>
        <v/>
      </c>
      <c r="K13" s="2"/>
      <c r="L13" s="13" t="str">
        <f aca="false">IF(A13="","",SUMIFS(Transactions!$E$2:$E$5000,Transactions!$N$2:$N$5000,A13,Transactions!$B$2:$B$5000,"&gt;="&amp;Settings!$B$4,Transactions!$B$2:$B$5000,"&lt;="&amp;EOMONTH(Settings!$B$4,0))-SUMIFS(Transactions!$E$2:$E$5000,Transactions!$N$2:$N$5000,A13,Transactions!$D$2:$D$5000,"Refund",Transactions!$B$2:$B$5000,"&gt;="&amp;Settings!$B$4,Transactions!$B$2:$B$5000,"&lt;="&amp;EOMONTH(Settings!$B$4,0)))</f>
        <v/>
      </c>
      <c r="M13" s="13" t="str">
        <f aca="false">IF(A13="","",IF(I13="Active",MAX(0,D13-L13),0))</f>
        <v/>
      </c>
      <c r="N13" s="2"/>
    </row>
    <row r="14" customFormat="false" ht="15" hidden="false" customHeight="false" outlineLevel="0" collapsed="false">
      <c r="A14" s="2"/>
      <c r="B14" s="2"/>
      <c r="C14" s="2"/>
      <c r="D14" s="13"/>
      <c r="E14" s="2"/>
      <c r="F14" s="2"/>
      <c r="G14" s="11"/>
      <c r="H14" s="11"/>
      <c r="I14" s="2"/>
      <c r="J14" s="2" t="str">
        <f aca="true">IF(A14="","",IF(I14&lt;&gt;"Active","Inactive",IF(L14&gt;=D14,"Paid",IF(L14&gt;0,"Partial",IF(DATE(YEAR(Settings!$B$4),MONTH(Settings!$B$4),MIN(E14,DAY(EOMONTH(Settings!$B$4,0))))&lt;TODAY(),"Overdue","Expected")))))</f>
        <v/>
      </c>
      <c r="K14" s="2"/>
      <c r="L14" s="13" t="str">
        <f aca="false">IF(A14="","",SUMIFS(Transactions!$E$2:$E$5000,Transactions!$N$2:$N$5000,A14,Transactions!$B$2:$B$5000,"&gt;="&amp;Settings!$B$4,Transactions!$B$2:$B$5000,"&lt;="&amp;EOMONTH(Settings!$B$4,0))-SUMIFS(Transactions!$E$2:$E$5000,Transactions!$N$2:$N$5000,A14,Transactions!$D$2:$D$5000,"Refund",Transactions!$B$2:$B$5000,"&gt;="&amp;Settings!$B$4,Transactions!$B$2:$B$5000,"&lt;="&amp;EOMONTH(Settings!$B$4,0)))</f>
        <v/>
      </c>
      <c r="M14" s="13" t="str">
        <f aca="false">IF(A14="","",IF(I14="Active",MAX(0,D14-L14),0))</f>
        <v/>
      </c>
      <c r="N14" s="2"/>
    </row>
    <row r="15" customFormat="false" ht="15" hidden="false" customHeight="false" outlineLevel="0" collapsed="false">
      <c r="A15" s="2"/>
      <c r="B15" s="2"/>
      <c r="C15" s="2"/>
      <c r="D15" s="13"/>
      <c r="E15" s="2"/>
      <c r="F15" s="2"/>
      <c r="G15" s="11"/>
      <c r="H15" s="11"/>
      <c r="I15" s="2"/>
      <c r="J15" s="2" t="str">
        <f aca="true">IF(A15="","",IF(I15&lt;&gt;"Active","Inactive",IF(L15&gt;=D15,"Paid",IF(L15&gt;0,"Partial",IF(DATE(YEAR(Settings!$B$4),MONTH(Settings!$B$4),MIN(E15,DAY(EOMONTH(Settings!$B$4,0))))&lt;TODAY(),"Overdue","Expected")))))</f>
        <v/>
      </c>
      <c r="K15" s="2"/>
      <c r="L15" s="13" t="str">
        <f aca="false">IF(A15="","",SUMIFS(Transactions!$E$2:$E$5000,Transactions!$N$2:$N$5000,A15,Transactions!$B$2:$B$5000,"&gt;="&amp;Settings!$B$4,Transactions!$B$2:$B$5000,"&lt;="&amp;EOMONTH(Settings!$B$4,0))-SUMIFS(Transactions!$E$2:$E$5000,Transactions!$N$2:$N$5000,A15,Transactions!$D$2:$D$5000,"Refund",Transactions!$B$2:$B$5000,"&gt;="&amp;Settings!$B$4,Transactions!$B$2:$B$5000,"&lt;="&amp;EOMONTH(Settings!$B$4,0)))</f>
        <v/>
      </c>
      <c r="M15" s="13" t="str">
        <f aca="false">IF(A15="","",IF(I15="Active",MAX(0,D15-L15),0))</f>
        <v/>
      </c>
      <c r="N15" s="2"/>
    </row>
    <row r="16" customFormat="false" ht="15" hidden="false" customHeight="false" outlineLevel="0" collapsed="false">
      <c r="A16" s="2"/>
      <c r="B16" s="2"/>
      <c r="C16" s="2"/>
      <c r="D16" s="13"/>
      <c r="E16" s="2"/>
      <c r="F16" s="2"/>
      <c r="G16" s="11"/>
      <c r="H16" s="11"/>
      <c r="I16" s="2"/>
      <c r="J16" s="2" t="str">
        <f aca="true">IF(A16="","",IF(I16&lt;&gt;"Active","Inactive",IF(L16&gt;=D16,"Paid",IF(L16&gt;0,"Partial",IF(DATE(YEAR(Settings!$B$4),MONTH(Settings!$B$4),MIN(E16,DAY(EOMONTH(Settings!$B$4,0))))&lt;TODAY(),"Overdue","Expected")))))</f>
        <v/>
      </c>
      <c r="K16" s="2"/>
      <c r="L16" s="13" t="str">
        <f aca="false">IF(A16="","",SUMIFS(Transactions!$E$2:$E$5000,Transactions!$N$2:$N$5000,A16,Transactions!$B$2:$B$5000,"&gt;="&amp;Settings!$B$4,Transactions!$B$2:$B$5000,"&lt;="&amp;EOMONTH(Settings!$B$4,0))-SUMIFS(Transactions!$E$2:$E$5000,Transactions!$N$2:$N$5000,A16,Transactions!$D$2:$D$5000,"Refund",Transactions!$B$2:$B$5000,"&gt;="&amp;Settings!$B$4,Transactions!$B$2:$B$5000,"&lt;="&amp;EOMONTH(Settings!$B$4,0)))</f>
        <v/>
      </c>
      <c r="M16" s="13" t="str">
        <f aca="false">IF(A16="","",IF(I16="Active",MAX(0,D16-L16),0))</f>
        <v/>
      </c>
      <c r="N16" s="2"/>
    </row>
    <row r="17" customFormat="false" ht="15" hidden="false" customHeight="false" outlineLevel="0" collapsed="false">
      <c r="A17" s="2"/>
      <c r="B17" s="2"/>
      <c r="C17" s="2"/>
      <c r="D17" s="13"/>
      <c r="E17" s="2"/>
      <c r="F17" s="2"/>
      <c r="G17" s="11"/>
      <c r="H17" s="11"/>
      <c r="I17" s="2"/>
      <c r="J17" s="2" t="str">
        <f aca="true">IF(A17="","",IF(I17&lt;&gt;"Active","Inactive",IF(L17&gt;=D17,"Paid",IF(L17&gt;0,"Partial",IF(DATE(YEAR(Settings!$B$4),MONTH(Settings!$B$4),MIN(E17,DAY(EOMONTH(Settings!$B$4,0))))&lt;TODAY(),"Overdue","Expected")))))</f>
        <v/>
      </c>
      <c r="K17" s="2"/>
      <c r="L17" s="13" t="str">
        <f aca="false">IF(A17="","",SUMIFS(Transactions!$E$2:$E$5000,Transactions!$N$2:$N$5000,A17,Transactions!$B$2:$B$5000,"&gt;="&amp;Settings!$B$4,Transactions!$B$2:$B$5000,"&lt;="&amp;EOMONTH(Settings!$B$4,0))-SUMIFS(Transactions!$E$2:$E$5000,Transactions!$N$2:$N$5000,A17,Transactions!$D$2:$D$5000,"Refund",Transactions!$B$2:$B$5000,"&gt;="&amp;Settings!$B$4,Transactions!$B$2:$B$5000,"&lt;="&amp;EOMONTH(Settings!$B$4,0)))</f>
        <v/>
      </c>
      <c r="M17" s="13" t="str">
        <f aca="false">IF(A17="","",IF(I17="Active",MAX(0,D17-L17),0))</f>
        <v/>
      </c>
      <c r="N17" s="2"/>
    </row>
    <row r="18" customFormat="false" ht="15" hidden="false" customHeight="false" outlineLevel="0" collapsed="false">
      <c r="A18" s="2"/>
      <c r="B18" s="2"/>
      <c r="C18" s="2"/>
      <c r="D18" s="13"/>
      <c r="E18" s="2"/>
      <c r="F18" s="2"/>
      <c r="G18" s="11"/>
      <c r="H18" s="11"/>
      <c r="I18" s="2"/>
      <c r="J18" s="2" t="str">
        <f aca="true">IF(A18="","",IF(I18&lt;&gt;"Active","Inactive",IF(L18&gt;=D18,"Paid",IF(L18&gt;0,"Partial",IF(DATE(YEAR(Settings!$B$4),MONTH(Settings!$B$4),MIN(E18,DAY(EOMONTH(Settings!$B$4,0))))&lt;TODAY(),"Overdue","Expected")))))</f>
        <v/>
      </c>
      <c r="K18" s="2"/>
      <c r="L18" s="13" t="str">
        <f aca="false">IF(A18="","",SUMIFS(Transactions!$E$2:$E$5000,Transactions!$N$2:$N$5000,A18,Transactions!$B$2:$B$5000,"&gt;="&amp;Settings!$B$4,Transactions!$B$2:$B$5000,"&lt;="&amp;EOMONTH(Settings!$B$4,0))-SUMIFS(Transactions!$E$2:$E$5000,Transactions!$N$2:$N$5000,A18,Transactions!$D$2:$D$5000,"Refund",Transactions!$B$2:$B$5000,"&gt;="&amp;Settings!$B$4,Transactions!$B$2:$B$5000,"&lt;="&amp;EOMONTH(Settings!$B$4,0)))</f>
        <v/>
      </c>
      <c r="M18" s="13" t="str">
        <f aca="false">IF(A18="","",IF(I18="Active",MAX(0,D18-L18),0))</f>
        <v/>
      </c>
      <c r="N18" s="2"/>
    </row>
    <row r="19" customFormat="false" ht="15" hidden="false" customHeight="false" outlineLevel="0" collapsed="false">
      <c r="A19" s="2"/>
      <c r="B19" s="2"/>
      <c r="C19" s="2"/>
      <c r="D19" s="13"/>
      <c r="E19" s="2"/>
      <c r="F19" s="2"/>
      <c r="G19" s="11"/>
      <c r="H19" s="11"/>
      <c r="I19" s="2"/>
      <c r="J19" s="2" t="str">
        <f aca="true">IF(A19="","",IF(I19&lt;&gt;"Active","Inactive",IF(L19&gt;=D19,"Paid",IF(L19&gt;0,"Partial",IF(DATE(YEAR(Settings!$B$4),MONTH(Settings!$B$4),MIN(E19,DAY(EOMONTH(Settings!$B$4,0))))&lt;TODAY(),"Overdue","Expected")))))</f>
        <v/>
      </c>
      <c r="K19" s="2"/>
      <c r="L19" s="13" t="str">
        <f aca="false">IF(A19="","",SUMIFS(Transactions!$E$2:$E$5000,Transactions!$N$2:$N$5000,A19,Transactions!$B$2:$B$5000,"&gt;="&amp;Settings!$B$4,Transactions!$B$2:$B$5000,"&lt;="&amp;EOMONTH(Settings!$B$4,0))-SUMIFS(Transactions!$E$2:$E$5000,Transactions!$N$2:$N$5000,A19,Transactions!$D$2:$D$5000,"Refund",Transactions!$B$2:$B$5000,"&gt;="&amp;Settings!$B$4,Transactions!$B$2:$B$5000,"&lt;="&amp;EOMONTH(Settings!$B$4,0)))</f>
        <v/>
      </c>
      <c r="M19" s="13" t="str">
        <f aca="false">IF(A19="","",IF(I19="Active",MAX(0,D19-L19),0))</f>
        <v/>
      </c>
      <c r="N19" s="2"/>
    </row>
    <row r="20" customFormat="false" ht="15" hidden="false" customHeight="false" outlineLevel="0" collapsed="false">
      <c r="A20" s="2"/>
      <c r="B20" s="2"/>
      <c r="C20" s="2"/>
      <c r="D20" s="13"/>
      <c r="E20" s="2"/>
      <c r="F20" s="2"/>
      <c r="G20" s="11"/>
      <c r="H20" s="11"/>
      <c r="I20" s="2"/>
      <c r="J20" s="2" t="str">
        <f aca="true">IF(A20="","",IF(I20&lt;&gt;"Active","Inactive",IF(L20&gt;=D20,"Paid",IF(L20&gt;0,"Partial",IF(DATE(YEAR(Settings!$B$4),MONTH(Settings!$B$4),MIN(E20,DAY(EOMONTH(Settings!$B$4,0))))&lt;TODAY(),"Overdue","Expected")))))</f>
        <v/>
      </c>
      <c r="K20" s="2"/>
      <c r="L20" s="13" t="str">
        <f aca="false">IF(A20="","",SUMIFS(Transactions!$E$2:$E$5000,Transactions!$N$2:$N$5000,A20,Transactions!$B$2:$B$5000,"&gt;="&amp;Settings!$B$4,Transactions!$B$2:$B$5000,"&lt;="&amp;EOMONTH(Settings!$B$4,0))-SUMIFS(Transactions!$E$2:$E$5000,Transactions!$N$2:$N$5000,A20,Transactions!$D$2:$D$5000,"Refund",Transactions!$B$2:$B$5000,"&gt;="&amp;Settings!$B$4,Transactions!$B$2:$B$5000,"&lt;="&amp;EOMONTH(Settings!$B$4,0)))</f>
        <v/>
      </c>
      <c r="M20" s="13" t="str">
        <f aca="false">IF(A20="","",IF(I20="Active",MAX(0,D20-L20),0))</f>
        <v/>
      </c>
      <c r="N20" s="2"/>
    </row>
    <row r="21" customFormat="false" ht="15" hidden="false" customHeight="false" outlineLevel="0" collapsed="false">
      <c r="A21" s="2"/>
      <c r="B21" s="2"/>
      <c r="C21" s="2"/>
      <c r="D21" s="13"/>
      <c r="E21" s="2"/>
      <c r="F21" s="2"/>
      <c r="G21" s="11"/>
      <c r="H21" s="11"/>
      <c r="I21" s="2"/>
      <c r="J21" s="2" t="str">
        <f aca="true">IF(A21="","",IF(I21&lt;&gt;"Active","Inactive",IF(L21&gt;=D21,"Paid",IF(L21&gt;0,"Partial",IF(DATE(YEAR(Settings!$B$4),MONTH(Settings!$B$4),MIN(E21,DAY(EOMONTH(Settings!$B$4,0))))&lt;TODAY(),"Overdue","Expected")))))</f>
        <v/>
      </c>
      <c r="K21" s="2"/>
      <c r="L21" s="13" t="str">
        <f aca="false">IF(A21="","",SUMIFS(Transactions!$E$2:$E$5000,Transactions!$N$2:$N$5000,A21,Transactions!$B$2:$B$5000,"&gt;="&amp;Settings!$B$4,Transactions!$B$2:$B$5000,"&lt;="&amp;EOMONTH(Settings!$B$4,0))-SUMIFS(Transactions!$E$2:$E$5000,Transactions!$N$2:$N$5000,A21,Transactions!$D$2:$D$5000,"Refund",Transactions!$B$2:$B$5000,"&gt;="&amp;Settings!$B$4,Transactions!$B$2:$B$5000,"&lt;="&amp;EOMONTH(Settings!$B$4,0)))</f>
        <v/>
      </c>
      <c r="M21" s="13" t="str">
        <f aca="false">IF(A21="","",IF(I21="Active",MAX(0,D21-L21),0))</f>
        <v/>
      </c>
      <c r="N21" s="2"/>
    </row>
    <row r="22" customFormat="false" ht="15" hidden="false" customHeight="false" outlineLevel="0" collapsed="false">
      <c r="A22" s="2"/>
      <c r="B22" s="2"/>
      <c r="C22" s="2"/>
      <c r="D22" s="13"/>
      <c r="E22" s="2"/>
      <c r="F22" s="2"/>
      <c r="G22" s="11"/>
      <c r="H22" s="11"/>
      <c r="I22" s="2"/>
      <c r="J22" s="2" t="str">
        <f aca="true">IF(A22="","",IF(I22&lt;&gt;"Active","Inactive",IF(L22&gt;=D22,"Paid",IF(L22&gt;0,"Partial",IF(DATE(YEAR(Settings!$B$4),MONTH(Settings!$B$4),MIN(E22,DAY(EOMONTH(Settings!$B$4,0))))&lt;TODAY(),"Overdue","Expected")))))</f>
        <v/>
      </c>
      <c r="K22" s="2"/>
      <c r="L22" s="13" t="str">
        <f aca="false">IF(A22="","",SUMIFS(Transactions!$E$2:$E$5000,Transactions!$N$2:$N$5000,A22,Transactions!$B$2:$B$5000,"&gt;="&amp;Settings!$B$4,Transactions!$B$2:$B$5000,"&lt;="&amp;EOMONTH(Settings!$B$4,0))-SUMIFS(Transactions!$E$2:$E$5000,Transactions!$N$2:$N$5000,A22,Transactions!$D$2:$D$5000,"Refund",Transactions!$B$2:$B$5000,"&gt;="&amp;Settings!$B$4,Transactions!$B$2:$B$5000,"&lt;="&amp;EOMONTH(Settings!$B$4,0)))</f>
        <v/>
      </c>
      <c r="M22" s="13" t="str">
        <f aca="false">IF(A22="","",IF(I22="Active",MAX(0,D22-L22),0))</f>
        <v/>
      </c>
      <c r="N22" s="2"/>
    </row>
    <row r="23" customFormat="false" ht="15" hidden="false" customHeight="false" outlineLevel="0" collapsed="false">
      <c r="A23" s="2"/>
      <c r="B23" s="2"/>
      <c r="C23" s="2"/>
      <c r="D23" s="13"/>
      <c r="E23" s="2"/>
      <c r="F23" s="2"/>
      <c r="G23" s="11"/>
      <c r="H23" s="11"/>
      <c r="I23" s="2"/>
      <c r="J23" s="2" t="str">
        <f aca="true">IF(A23="","",IF(I23&lt;&gt;"Active","Inactive",IF(L23&gt;=D23,"Paid",IF(L23&gt;0,"Partial",IF(DATE(YEAR(Settings!$B$4),MONTH(Settings!$B$4),MIN(E23,DAY(EOMONTH(Settings!$B$4,0))))&lt;TODAY(),"Overdue","Expected")))))</f>
        <v/>
      </c>
      <c r="K23" s="2"/>
      <c r="L23" s="13" t="str">
        <f aca="false">IF(A23="","",SUMIFS(Transactions!$E$2:$E$5000,Transactions!$N$2:$N$5000,A23,Transactions!$B$2:$B$5000,"&gt;="&amp;Settings!$B$4,Transactions!$B$2:$B$5000,"&lt;="&amp;EOMONTH(Settings!$B$4,0))-SUMIFS(Transactions!$E$2:$E$5000,Transactions!$N$2:$N$5000,A23,Transactions!$D$2:$D$5000,"Refund",Transactions!$B$2:$B$5000,"&gt;="&amp;Settings!$B$4,Transactions!$B$2:$B$5000,"&lt;="&amp;EOMONTH(Settings!$B$4,0)))</f>
        <v/>
      </c>
      <c r="M23" s="13" t="str">
        <f aca="false">IF(A23="","",IF(I23="Active",MAX(0,D23-L23),0))</f>
        <v/>
      </c>
      <c r="N23" s="2"/>
    </row>
    <row r="24" customFormat="false" ht="15" hidden="false" customHeight="false" outlineLevel="0" collapsed="false">
      <c r="A24" s="2"/>
      <c r="B24" s="2"/>
      <c r="C24" s="2"/>
      <c r="D24" s="13"/>
      <c r="E24" s="2"/>
      <c r="F24" s="2"/>
      <c r="G24" s="11"/>
      <c r="H24" s="11"/>
      <c r="I24" s="2"/>
      <c r="J24" s="2" t="str">
        <f aca="true">IF(A24="","",IF(I24&lt;&gt;"Active","Inactive",IF(L24&gt;=D24,"Paid",IF(L24&gt;0,"Partial",IF(DATE(YEAR(Settings!$B$4),MONTH(Settings!$B$4),MIN(E24,DAY(EOMONTH(Settings!$B$4,0))))&lt;TODAY(),"Overdue","Expected")))))</f>
        <v/>
      </c>
      <c r="K24" s="2"/>
      <c r="L24" s="13" t="str">
        <f aca="false">IF(A24="","",SUMIFS(Transactions!$E$2:$E$5000,Transactions!$N$2:$N$5000,A24,Transactions!$B$2:$B$5000,"&gt;="&amp;Settings!$B$4,Transactions!$B$2:$B$5000,"&lt;="&amp;EOMONTH(Settings!$B$4,0))-SUMIFS(Transactions!$E$2:$E$5000,Transactions!$N$2:$N$5000,A24,Transactions!$D$2:$D$5000,"Refund",Transactions!$B$2:$B$5000,"&gt;="&amp;Settings!$B$4,Transactions!$B$2:$B$5000,"&lt;="&amp;EOMONTH(Settings!$B$4,0)))</f>
        <v/>
      </c>
      <c r="M24" s="13" t="str">
        <f aca="false">IF(A24="","",IF(I24="Active",MAX(0,D24-L24),0))</f>
        <v/>
      </c>
      <c r="N24" s="2"/>
    </row>
    <row r="25" customFormat="false" ht="15" hidden="false" customHeight="false" outlineLevel="0" collapsed="false">
      <c r="A25" s="2"/>
      <c r="B25" s="2"/>
      <c r="C25" s="2"/>
      <c r="D25" s="13"/>
      <c r="E25" s="2"/>
      <c r="F25" s="2"/>
      <c r="G25" s="11"/>
      <c r="H25" s="11"/>
      <c r="I25" s="2"/>
      <c r="J25" s="2" t="str">
        <f aca="true">IF(A25="","",IF(I25&lt;&gt;"Active","Inactive",IF(L25&gt;=D25,"Paid",IF(L25&gt;0,"Partial",IF(DATE(YEAR(Settings!$B$4),MONTH(Settings!$B$4),MIN(E25,DAY(EOMONTH(Settings!$B$4,0))))&lt;TODAY(),"Overdue","Expected")))))</f>
        <v/>
      </c>
      <c r="K25" s="2"/>
      <c r="L25" s="13" t="str">
        <f aca="false">IF(A25="","",SUMIFS(Transactions!$E$2:$E$5000,Transactions!$N$2:$N$5000,A25,Transactions!$B$2:$B$5000,"&gt;="&amp;Settings!$B$4,Transactions!$B$2:$B$5000,"&lt;="&amp;EOMONTH(Settings!$B$4,0))-SUMIFS(Transactions!$E$2:$E$5000,Transactions!$N$2:$N$5000,A25,Transactions!$D$2:$D$5000,"Refund",Transactions!$B$2:$B$5000,"&gt;="&amp;Settings!$B$4,Transactions!$B$2:$B$5000,"&lt;="&amp;EOMONTH(Settings!$B$4,0)))</f>
        <v/>
      </c>
      <c r="M25" s="13" t="str">
        <f aca="false">IF(A25="","",IF(I25="Active",MAX(0,D25-L25),0))</f>
        <v/>
      </c>
      <c r="N25" s="2"/>
    </row>
    <row r="26" customFormat="false" ht="15" hidden="false" customHeight="false" outlineLevel="0" collapsed="false">
      <c r="A26" s="2"/>
      <c r="B26" s="2"/>
      <c r="C26" s="2"/>
      <c r="D26" s="13"/>
      <c r="E26" s="2"/>
      <c r="F26" s="2"/>
      <c r="G26" s="11"/>
      <c r="H26" s="11"/>
      <c r="I26" s="2"/>
      <c r="J26" s="2" t="str">
        <f aca="true">IF(A26="","",IF(I26&lt;&gt;"Active","Inactive",IF(L26&gt;=D26,"Paid",IF(L26&gt;0,"Partial",IF(DATE(YEAR(Settings!$B$4),MONTH(Settings!$B$4),MIN(E26,DAY(EOMONTH(Settings!$B$4,0))))&lt;TODAY(),"Overdue","Expected")))))</f>
        <v/>
      </c>
      <c r="K26" s="2"/>
      <c r="L26" s="13" t="str">
        <f aca="false">IF(A26="","",SUMIFS(Transactions!$E$2:$E$5000,Transactions!$N$2:$N$5000,A26,Transactions!$B$2:$B$5000,"&gt;="&amp;Settings!$B$4,Transactions!$B$2:$B$5000,"&lt;="&amp;EOMONTH(Settings!$B$4,0))-SUMIFS(Transactions!$E$2:$E$5000,Transactions!$N$2:$N$5000,A26,Transactions!$D$2:$D$5000,"Refund",Transactions!$B$2:$B$5000,"&gt;="&amp;Settings!$B$4,Transactions!$B$2:$B$5000,"&lt;="&amp;EOMONTH(Settings!$B$4,0)))</f>
        <v/>
      </c>
      <c r="M26" s="13" t="str">
        <f aca="false">IF(A26="","",IF(I26="Active",MAX(0,D26-L26),0))</f>
        <v/>
      </c>
      <c r="N26" s="2"/>
    </row>
    <row r="27" customFormat="false" ht="15" hidden="false" customHeight="false" outlineLevel="0" collapsed="false">
      <c r="A27" s="2"/>
      <c r="B27" s="2"/>
      <c r="C27" s="2"/>
      <c r="D27" s="13"/>
      <c r="E27" s="2"/>
      <c r="F27" s="2"/>
      <c r="G27" s="11"/>
      <c r="H27" s="11"/>
      <c r="I27" s="2"/>
      <c r="J27" s="2" t="str">
        <f aca="true">IF(A27="","",IF(I27&lt;&gt;"Active","Inactive",IF(L27&gt;=D27,"Paid",IF(L27&gt;0,"Partial",IF(DATE(YEAR(Settings!$B$4),MONTH(Settings!$B$4),MIN(E27,DAY(EOMONTH(Settings!$B$4,0))))&lt;TODAY(),"Overdue","Expected")))))</f>
        <v/>
      </c>
      <c r="K27" s="2"/>
      <c r="L27" s="13" t="str">
        <f aca="false">IF(A27="","",SUMIFS(Transactions!$E$2:$E$5000,Transactions!$N$2:$N$5000,A27,Transactions!$B$2:$B$5000,"&gt;="&amp;Settings!$B$4,Transactions!$B$2:$B$5000,"&lt;="&amp;EOMONTH(Settings!$B$4,0))-SUMIFS(Transactions!$E$2:$E$5000,Transactions!$N$2:$N$5000,A27,Transactions!$D$2:$D$5000,"Refund",Transactions!$B$2:$B$5000,"&gt;="&amp;Settings!$B$4,Transactions!$B$2:$B$5000,"&lt;="&amp;EOMONTH(Settings!$B$4,0)))</f>
        <v/>
      </c>
      <c r="M27" s="13" t="str">
        <f aca="false">IF(A27="","",IF(I27="Active",MAX(0,D27-L27),0))</f>
        <v/>
      </c>
      <c r="N27" s="2"/>
    </row>
    <row r="28" customFormat="false" ht="15" hidden="false" customHeight="false" outlineLevel="0" collapsed="false">
      <c r="A28" s="2"/>
      <c r="B28" s="2"/>
      <c r="C28" s="2"/>
      <c r="D28" s="13"/>
      <c r="E28" s="2"/>
      <c r="F28" s="2"/>
      <c r="G28" s="11"/>
      <c r="H28" s="11"/>
      <c r="I28" s="2"/>
      <c r="J28" s="2" t="str">
        <f aca="true">IF(A28="","",IF(I28&lt;&gt;"Active","Inactive",IF(L28&gt;=D28,"Paid",IF(L28&gt;0,"Partial",IF(DATE(YEAR(Settings!$B$4),MONTH(Settings!$B$4),MIN(E28,DAY(EOMONTH(Settings!$B$4,0))))&lt;TODAY(),"Overdue","Expected")))))</f>
        <v/>
      </c>
      <c r="K28" s="2"/>
      <c r="L28" s="13" t="str">
        <f aca="false">IF(A28="","",SUMIFS(Transactions!$E$2:$E$5000,Transactions!$N$2:$N$5000,A28,Transactions!$B$2:$B$5000,"&gt;="&amp;Settings!$B$4,Transactions!$B$2:$B$5000,"&lt;="&amp;EOMONTH(Settings!$B$4,0))-SUMIFS(Transactions!$E$2:$E$5000,Transactions!$N$2:$N$5000,A28,Transactions!$D$2:$D$5000,"Refund",Transactions!$B$2:$B$5000,"&gt;="&amp;Settings!$B$4,Transactions!$B$2:$B$5000,"&lt;="&amp;EOMONTH(Settings!$B$4,0)))</f>
        <v/>
      </c>
      <c r="M28" s="13" t="str">
        <f aca="false">IF(A28="","",IF(I28="Active",MAX(0,D28-L28),0))</f>
        <v/>
      </c>
      <c r="N28" s="2"/>
    </row>
    <row r="29" customFormat="false" ht="15" hidden="false" customHeight="false" outlineLevel="0" collapsed="false">
      <c r="A29" s="2"/>
      <c r="B29" s="2"/>
      <c r="C29" s="2"/>
      <c r="D29" s="13"/>
      <c r="E29" s="2"/>
      <c r="F29" s="2"/>
      <c r="G29" s="11"/>
      <c r="H29" s="11"/>
      <c r="I29" s="2"/>
      <c r="J29" s="2" t="str">
        <f aca="true">IF(A29="","",IF(I29&lt;&gt;"Active","Inactive",IF(L29&gt;=D29,"Paid",IF(L29&gt;0,"Partial",IF(DATE(YEAR(Settings!$B$4),MONTH(Settings!$B$4),MIN(E29,DAY(EOMONTH(Settings!$B$4,0))))&lt;TODAY(),"Overdue","Expected")))))</f>
        <v/>
      </c>
      <c r="K29" s="2"/>
      <c r="L29" s="13" t="str">
        <f aca="false">IF(A29="","",SUMIFS(Transactions!$E$2:$E$5000,Transactions!$N$2:$N$5000,A29,Transactions!$B$2:$B$5000,"&gt;="&amp;Settings!$B$4,Transactions!$B$2:$B$5000,"&lt;="&amp;EOMONTH(Settings!$B$4,0))-SUMIFS(Transactions!$E$2:$E$5000,Transactions!$N$2:$N$5000,A29,Transactions!$D$2:$D$5000,"Refund",Transactions!$B$2:$B$5000,"&gt;="&amp;Settings!$B$4,Transactions!$B$2:$B$5000,"&lt;="&amp;EOMONTH(Settings!$B$4,0)))</f>
        <v/>
      </c>
      <c r="M29" s="13" t="str">
        <f aca="false">IF(A29="","",IF(I29="Active",MAX(0,D29-L29),0))</f>
        <v/>
      </c>
      <c r="N29" s="2"/>
    </row>
    <row r="30" customFormat="false" ht="15" hidden="false" customHeight="false" outlineLevel="0" collapsed="false">
      <c r="A30" s="2"/>
      <c r="B30" s="2"/>
      <c r="C30" s="2"/>
      <c r="D30" s="13"/>
      <c r="E30" s="2"/>
      <c r="F30" s="2"/>
      <c r="G30" s="11"/>
      <c r="H30" s="11"/>
      <c r="I30" s="2"/>
      <c r="J30" s="2" t="str">
        <f aca="true">IF(A30="","",IF(I30&lt;&gt;"Active","Inactive",IF(L30&gt;=D30,"Paid",IF(L30&gt;0,"Partial",IF(DATE(YEAR(Settings!$B$4),MONTH(Settings!$B$4),MIN(E30,DAY(EOMONTH(Settings!$B$4,0))))&lt;TODAY(),"Overdue","Expected")))))</f>
        <v/>
      </c>
      <c r="K30" s="2"/>
      <c r="L30" s="13" t="str">
        <f aca="false">IF(A30="","",SUMIFS(Transactions!$E$2:$E$5000,Transactions!$N$2:$N$5000,A30,Transactions!$B$2:$B$5000,"&gt;="&amp;Settings!$B$4,Transactions!$B$2:$B$5000,"&lt;="&amp;EOMONTH(Settings!$B$4,0))-SUMIFS(Transactions!$E$2:$E$5000,Transactions!$N$2:$N$5000,A30,Transactions!$D$2:$D$5000,"Refund",Transactions!$B$2:$B$5000,"&gt;="&amp;Settings!$B$4,Transactions!$B$2:$B$5000,"&lt;="&amp;EOMONTH(Settings!$B$4,0)))</f>
        <v/>
      </c>
      <c r="M30" s="13" t="str">
        <f aca="false">IF(A30="","",IF(I30="Active",MAX(0,D30-L30),0))</f>
        <v/>
      </c>
      <c r="N30" s="2"/>
    </row>
    <row r="31" customFormat="false" ht="15" hidden="false" customHeight="false" outlineLevel="0" collapsed="false">
      <c r="A31" s="2"/>
      <c r="B31" s="2"/>
      <c r="C31" s="2"/>
      <c r="D31" s="13"/>
      <c r="E31" s="2"/>
      <c r="F31" s="2"/>
      <c r="G31" s="11"/>
      <c r="H31" s="11"/>
      <c r="I31" s="2"/>
      <c r="J31" s="2" t="str">
        <f aca="true">IF(A31="","",IF(I31&lt;&gt;"Active","Inactive",IF(L31&gt;=D31,"Paid",IF(L31&gt;0,"Partial",IF(DATE(YEAR(Settings!$B$4),MONTH(Settings!$B$4),MIN(E31,DAY(EOMONTH(Settings!$B$4,0))))&lt;TODAY(),"Overdue","Expected")))))</f>
        <v/>
      </c>
      <c r="K31" s="2"/>
      <c r="L31" s="13" t="str">
        <f aca="false">IF(A31="","",SUMIFS(Transactions!$E$2:$E$5000,Transactions!$N$2:$N$5000,A31,Transactions!$B$2:$B$5000,"&gt;="&amp;Settings!$B$4,Transactions!$B$2:$B$5000,"&lt;="&amp;EOMONTH(Settings!$B$4,0))-SUMIFS(Transactions!$E$2:$E$5000,Transactions!$N$2:$N$5000,A31,Transactions!$D$2:$D$5000,"Refund",Transactions!$B$2:$B$5000,"&gt;="&amp;Settings!$B$4,Transactions!$B$2:$B$5000,"&lt;="&amp;EOMONTH(Settings!$B$4,0)))</f>
        <v/>
      </c>
      <c r="M31" s="13" t="str">
        <f aca="false">IF(A31="","",IF(I31="Active",MAX(0,D31-L31),0))</f>
        <v/>
      </c>
      <c r="N31" s="2"/>
    </row>
    <row r="32" customFormat="false" ht="15" hidden="false" customHeight="false" outlineLevel="0" collapsed="false">
      <c r="A32" s="2"/>
      <c r="B32" s="2"/>
      <c r="C32" s="2"/>
      <c r="D32" s="13"/>
      <c r="E32" s="2"/>
      <c r="F32" s="2"/>
      <c r="G32" s="11"/>
      <c r="H32" s="11"/>
      <c r="I32" s="2"/>
      <c r="J32" s="2" t="str">
        <f aca="true">IF(A32="","",IF(I32&lt;&gt;"Active","Inactive",IF(L32&gt;=D32,"Paid",IF(L32&gt;0,"Partial",IF(DATE(YEAR(Settings!$B$4),MONTH(Settings!$B$4),MIN(E32,DAY(EOMONTH(Settings!$B$4,0))))&lt;TODAY(),"Overdue","Expected")))))</f>
        <v/>
      </c>
      <c r="K32" s="2"/>
      <c r="L32" s="13" t="str">
        <f aca="false">IF(A32="","",SUMIFS(Transactions!$E$2:$E$5000,Transactions!$N$2:$N$5000,A32,Transactions!$B$2:$B$5000,"&gt;="&amp;Settings!$B$4,Transactions!$B$2:$B$5000,"&lt;="&amp;EOMONTH(Settings!$B$4,0))-SUMIFS(Transactions!$E$2:$E$5000,Transactions!$N$2:$N$5000,A32,Transactions!$D$2:$D$5000,"Refund",Transactions!$B$2:$B$5000,"&gt;="&amp;Settings!$B$4,Transactions!$B$2:$B$5000,"&lt;="&amp;EOMONTH(Settings!$B$4,0)))</f>
        <v/>
      </c>
      <c r="M32" s="13" t="str">
        <f aca="false">IF(A32="","",IF(I32="Active",MAX(0,D32-L32),0))</f>
        <v/>
      </c>
      <c r="N32" s="2"/>
    </row>
    <row r="33" customFormat="false" ht="15" hidden="false" customHeight="false" outlineLevel="0" collapsed="false">
      <c r="A33" s="2"/>
      <c r="B33" s="2"/>
      <c r="C33" s="2"/>
      <c r="D33" s="13"/>
      <c r="E33" s="2"/>
      <c r="F33" s="2"/>
      <c r="G33" s="11"/>
      <c r="H33" s="11"/>
      <c r="I33" s="2"/>
      <c r="J33" s="2" t="str">
        <f aca="true">IF(A33="","",IF(I33&lt;&gt;"Active","Inactive",IF(L33&gt;=D33,"Paid",IF(L33&gt;0,"Partial",IF(DATE(YEAR(Settings!$B$4),MONTH(Settings!$B$4),MIN(E33,DAY(EOMONTH(Settings!$B$4,0))))&lt;TODAY(),"Overdue","Expected")))))</f>
        <v/>
      </c>
      <c r="K33" s="2"/>
      <c r="L33" s="13" t="str">
        <f aca="false">IF(A33="","",SUMIFS(Transactions!$E$2:$E$5000,Transactions!$N$2:$N$5000,A33,Transactions!$B$2:$B$5000,"&gt;="&amp;Settings!$B$4,Transactions!$B$2:$B$5000,"&lt;="&amp;EOMONTH(Settings!$B$4,0))-SUMIFS(Transactions!$E$2:$E$5000,Transactions!$N$2:$N$5000,A33,Transactions!$D$2:$D$5000,"Refund",Transactions!$B$2:$B$5000,"&gt;="&amp;Settings!$B$4,Transactions!$B$2:$B$5000,"&lt;="&amp;EOMONTH(Settings!$B$4,0)))</f>
        <v/>
      </c>
      <c r="M33" s="13" t="str">
        <f aca="false">IF(A33="","",IF(I33="Active",MAX(0,D33-L33),0))</f>
        <v/>
      </c>
      <c r="N33" s="2"/>
    </row>
    <row r="34" customFormat="false" ht="15" hidden="false" customHeight="false" outlineLevel="0" collapsed="false">
      <c r="A34" s="2"/>
      <c r="B34" s="2"/>
      <c r="C34" s="2"/>
      <c r="D34" s="13"/>
      <c r="E34" s="2"/>
      <c r="F34" s="2"/>
      <c r="G34" s="11"/>
      <c r="H34" s="11"/>
      <c r="I34" s="2"/>
      <c r="J34" s="2" t="str">
        <f aca="true">IF(A34="","",IF(I34&lt;&gt;"Active","Inactive",IF(L34&gt;=D34,"Paid",IF(L34&gt;0,"Partial",IF(DATE(YEAR(Settings!$B$4),MONTH(Settings!$B$4),MIN(E34,DAY(EOMONTH(Settings!$B$4,0))))&lt;TODAY(),"Overdue","Expected")))))</f>
        <v/>
      </c>
      <c r="K34" s="2"/>
      <c r="L34" s="13" t="str">
        <f aca="false">IF(A34="","",SUMIFS(Transactions!$E$2:$E$5000,Transactions!$N$2:$N$5000,A34,Transactions!$B$2:$B$5000,"&gt;="&amp;Settings!$B$4,Transactions!$B$2:$B$5000,"&lt;="&amp;EOMONTH(Settings!$B$4,0))-SUMIFS(Transactions!$E$2:$E$5000,Transactions!$N$2:$N$5000,A34,Transactions!$D$2:$D$5000,"Refund",Transactions!$B$2:$B$5000,"&gt;="&amp;Settings!$B$4,Transactions!$B$2:$B$5000,"&lt;="&amp;EOMONTH(Settings!$B$4,0)))</f>
        <v/>
      </c>
      <c r="M34" s="13" t="str">
        <f aca="false">IF(A34="","",IF(I34="Active",MAX(0,D34-L34),0))</f>
        <v/>
      </c>
      <c r="N34" s="2"/>
    </row>
    <row r="35" customFormat="false" ht="15" hidden="false" customHeight="false" outlineLevel="0" collapsed="false">
      <c r="A35" s="2"/>
      <c r="B35" s="2"/>
      <c r="C35" s="2"/>
      <c r="D35" s="13"/>
      <c r="E35" s="2"/>
      <c r="F35" s="2"/>
      <c r="G35" s="11"/>
      <c r="H35" s="11"/>
      <c r="I35" s="2"/>
      <c r="J35" s="2" t="str">
        <f aca="true">IF(A35="","",IF(I35&lt;&gt;"Active","Inactive",IF(L35&gt;=D35,"Paid",IF(L35&gt;0,"Partial",IF(DATE(YEAR(Settings!$B$4),MONTH(Settings!$B$4),MIN(E35,DAY(EOMONTH(Settings!$B$4,0))))&lt;TODAY(),"Overdue","Expected")))))</f>
        <v/>
      </c>
      <c r="K35" s="2"/>
      <c r="L35" s="13" t="str">
        <f aca="false">IF(A35="","",SUMIFS(Transactions!$E$2:$E$5000,Transactions!$N$2:$N$5000,A35,Transactions!$B$2:$B$5000,"&gt;="&amp;Settings!$B$4,Transactions!$B$2:$B$5000,"&lt;="&amp;EOMONTH(Settings!$B$4,0))-SUMIFS(Transactions!$E$2:$E$5000,Transactions!$N$2:$N$5000,A35,Transactions!$D$2:$D$5000,"Refund",Transactions!$B$2:$B$5000,"&gt;="&amp;Settings!$B$4,Transactions!$B$2:$B$5000,"&lt;="&amp;EOMONTH(Settings!$B$4,0)))</f>
        <v/>
      </c>
      <c r="M35" s="13" t="str">
        <f aca="false">IF(A35="","",IF(I35="Active",MAX(0,D35-L35),0))</f>
        <v/>
      </c>
      <c r="N35" s="2"/>
    </row>
    <row r="36" customFormat="false" ht="15" hidden="false" customHeight="false" outlineLevel="0" collapsed="false">
      <c r="A36" s="2"/>
      <c r="B36" s="2"/>
      <c r="C36" s="2"/>
      <c r="D36" s="13"/>
      <c r="E36" s="2"/>
      <c r="F36" s="2"/>
      <c r="G36" s="11"/>
      <c r="H36" s="11"/>
      <c r="I36" s="2"/>
      <c r="J36" s="2" t="str">
        <f aca="true">IF(A36="","",IF(I36&lt;&gt;"Active","Inactive",IF(L36&gt;=D36,"Paid",IF(L36&gt;0,"Partial",IF(DATE(YEAR(Settings!$B$4),MONTH(Settings!$B$4),MIN(E36,DAY(EOMONTH(Settings!$B$4,0))))&lt;TODAY(),"Overdue","Expected")))))</f>
        <v/>
      </c>
      <c r="K36" s="2"/>
      <c r="L36" s="13" t="str">
        <f aca="false">IF(A36="","",SUMIFS(Transactions!$E$2:$E$5000,Transactions!$N$2:$N$5000,A36,Transactions!$B$2:$B$5000,"&gt;="&amp;Settings!$B$4,Transactions!$B$2:$B$5000,"&lt;="&amp;EOMONTH(Settings!$B$4,0))-SUMIFS(Transactions!$E$2:$E$5000,Transactions!$N$2:$N$5000,A36,Transactions!$D$2:$D$5000,"Refund",Transactions!$B$2:$B$5000,"&gt;="&amp;Settings!$B$4,Transactions!$B$2:$B$5000,"&lt;="&amp;EOMONTH(Settings!$B$4,0)))</f>
        <v/>
      </c>
      <c r="M36" s="13" t="str">
        <f aca="false">IF(A36="","",IF(I36="Active",MAX(0,D36-L36),0))</f>
        <v/>
      </c>
      <c r="N36" s="2"/>
    </row>
    <row r="37" customFormat="false" ht="15" hidden="false" customHeight="false" outlineLevel="0" collapsed="false">
      <c r="A37" s="2"/>
      <c r="B37" s="2"/>
      <c r="C37" s="2"/>
      <c r="D37" s="13"/>
      <c r="E37" s="2"/>
      <c r="F37" s="2"/>
      <c r="G37" s="11"/>
      <c r="H37" s="11"/>
      <c r="I37" s="2"/>
      <c r="J37" s="2" t="str">
        <f aca="true">IF(A37="","",IF(I37&lt;&gt;"Active","Inactive",IF(L37&gt;=D37,"Paid",IF(L37&gt;0,"Partial",IF(DATE(YEAR(Settings!$B$4),MONTH(Settings!$B$4),MIN(E37,DAY(EOMONTH(Settings!$B$4,0))))&lt;TODAY(),"Overdue","Expected")))))</f>
        <v/>
      </c>
      <c r="K37" s="2"/>
      <c r="L37" s="13" t="str">
        <f aca="false">IF(A37="","",SUMIFS(Transactions!$E$2:$E$5000,Transactions!$N$2:$N$5000,A37,Transactions!$B$2:$B$5000,"&gt;="&amp;Settings!$B$4,Transactions!$B$2:$B$5000,"&lt;="&amp;EOMONTH(Settings!$B$4,0))-SUMIFS(Transactions!$E$2:$E$5000,Transactions!$N$2:$N$5000,A37,Transactions!$D$2:$D$5000,"Refund",Transactions!$B$2:$B$5000,"&gt;="&amp;Settings!$B$4,Transactions!$B$2:$B$5000,"&lt;="&amp;EOMONTH(Settings!$B$4,0)))</f>
        <v/>
      </c>
      <c r="M37" s="13" t="str">
        <f aca="false">IF(A37="","",IF(I37="Active",MAX(0,D37-L37),0))</f>
        <v/>
      </c>
      <c r="N37" s="2"/>
    </row>
    <row r="38" customFormat="false" ht="15" hidden="false" customHeight="false" outlineLevel="0" collapsed="false">
      <c r="A38" s="2"/>
      <c r="B38" s="2"/>
      <c r="C38" s="2"/>
      <c r="D38" s="13"/>
      <c r="E38" s="2"/>
      <c r="F38" s="2"/>
      <c r="G38" s="11"/>
      <c r="H38" s="11"/>
      <c r="I38" s="2"/>
      <c r="J38" s="2" t="str">
        <f aca="true">IF(A38="","",IF(I38&lt;&gt;"Active","Inactive",IF(L38&gt;=D38,"Paid",IF(L38&gt;0,"Partial",IF(DATE(YEAR(Settings!$B$4),MONTH(Settings!$B$4),MIN(E38,DAY(EOMONTH(Settings!$B$4,0))))&lt;TODAY(),"Overdue","Expected")))))</f>
        <v/>
      </c>
      <c r="K38" s="2"/>
      <c r="L38" s="13" t="str">
        <f aca="false">IF(A38="","",SUMIFS(Transactions!$E$2:$E$5000,Transactions!$N$2:$N$5000,A38,Transactions!$B$2:$B$5000,"&gt;="&amp;Settings!$B$4,Transactions!$B$2:$B$5000,"&lt;="&amp;EOMONTH(Settings!$B$4,0))-SUMIFS(Transactions!$E$2:$E$5000,Transactions!$N$2:$N$5000,A38,Transactions!$D$2:$D$5000,"Refund",Transactions!$B$2:$B$5000,"&gt;="&amp;Settings!$B$4,Transactions!$B$2:$B$5000,"&lt;="&amp;EOMONTH(Settings!$B$4,0)))</f>
        <v/>
      </c>
      <c r="M38" s="13" t="str">
        <f aca="false">IF(A38="","",IF(I38="Active",MAX(0,D38-L38),0))</f>
        <v/>
      </c>
      <c r="N38" s="2"/>
    </row>
    <row r="39" customFormat="false" ht="15" hidden="false" customHeight="false" outlineLevel="0" collapsed="false">
      <c r="A39" s="2"/>
      <c r="B39" s="2"/>
      <c r="C39" s="2"/>
      <c r="D39" s="13"/>
      <c r="E39" s="2"/>
      <c r="F39" s="2"/>
      <c r="G39" s="11"/>
      <c r="H39" s="11"/>
      <c r="I39" s="2"/>
      <c r="J39" s="2" t="str">
        <f aca="true">IF(A39="","",IF(I39&lt;&gt;"Active","Inactive",IF(L39&gt;=D39,"Paid",IF(L39&gt;0,"Partial",IF(DATE(YEAR(Settings!$B$4),MONTH(Settings!$B$4),MIN(E39,DAY(EOMONTH(Settings!$B$4,0))))&lt;TODAY(),"Overdue","Expected")))))</f>
        <v/>
      </c>
      <c r="K39" s="2"/>
      <c r="L39" s="13" t="str">
        <f aca="false">IF(A39="","",SUMIFS(Transactions!$E$2:$E$5000,Transactions!$N$2:$N$5000,A39,Transactions!$B$2:$B$5000,"&gt;="&amp;Settings!$B$4,Transactions!$B$2:$B$5000,"&lt;="&amp;EOMONTH(Settings!$B$4,0))-SUMIFS(Transactions!$E$2:$E$5000,Transactions!$N$2:$N$5000,A39,Transactions!$D$2:$D$5000,"Refund",Transactions!$B$2:$B$5000,"&gt;="&amp;Settings!$B$4,Transactions!$B$2:$B$5000,"&lt;="&amp;EOMONTH(Settings!$B$4,0)))</f>
        <v/>
      </c>
      <c r="M39" s="13" t="str">
        <f aca="false">IF(A39="","",IF(I39="Active",MAX(0,D39-L39),0))</f>
        <v/>
      </c>
      <c r="N39" s="2"/>
    </row>
    <row r="40" customFormat="false" ht="15" hidden="false" customHeight="false" outlineLevel="0" collapsed="false">
      <c r="A40" s="2"/>
      <c r="B40" s="2"/>
      <c r="C40" s="2"/>
      <c r="D40" s="13"/>
      <c r="E40" s="2"/>
      <c r="F40" s="2"/>
      <c r="G40" s="11"/>
      <c r="H40" s="11"/>
      <c r="I40" s="2"/>
      <c r="J40" s="2" t="str">
        <f aca="true">IF(A40="","",IF(I40&lt;&gt;"Active","Inactive",IF(L40&gt;=D40,"Paid",IF(L40&gt;0,"Partial",IF(DATE(YEAR(Settings!$B$4),MONTH(Settings!$B$4),MIN(E40,DAY(EOMONTH(Settings!$B$4,0))))&lt;TODAY(),"Overdue","Expected")))))</f>
        <v/>
      </c>
      <c r="K40" s="2"/>
      <c r="L40" s="13" t="str">
        <f aca="false">IF(A40="","",SUMIFS(Transactions!$E$2:$E$5000,Transactions!$N$2:$N$5000,A40,Transactions!$B$2:$B$5000,"&gt;="&amp;Settings!$B$4,Transactions!$B$2:$B$5000,"&lt;="&amp;EOMONTH(Settings!$B$4,0))-SUMIFS(Transactions!$E$2:$E$5000,Transactions!$N$2:$N$5000,A40,Transactions!$D$2:$D$5000,"Refund",Transactions!$B$2:$B$5000,"&gt;="&amp;Settings!$B$4,Transactions!$B$2:$B$5000,"&lt;="&amp;EOMONTH(Settings!$B$4,0)))</f>
        <v/>
      </c>
      <c r="M40" s="13" t="str">
        <f aca="false">IF(A40="","",IF(I40="Active",MAX(0,D40-L40),0))</f>
        <v/>
      </c>
      <c r="N40" s="2"/>
    </row>
    <row r="41" customFormat="false" ht="15" hidden="false" customHeight="false" outlineLevel="0" collapsed="false">
      <c r="A41" s="2"/>
      <c r="B41" s="2"/>
      <c r="C41" s="2"/>
      <c r="D41" s="13"/>
      <c r="E41" s="2"/>
      <c r="F41" s="2"/>
      <c r="G41" s="11"/>
      <c r="H41" s="11"/>
      <c r="I41" s="2"/>
      <c r="J41" s="2" t="str">
        <f aca="true">IF(A41="","",IF(I41&lt;&gt;"Active","Inactive",IF(L41&gt;=D41,"Paid",IF(L41&gt;0,"Partial",IF(DATE(YEAR(Settings!$B$4),MONTH(Settings!$B$4),MIN(E41,DAY(EOMONTH(Settings!$B$4,0))))&lt;TODAY(),"Overdue","Expected")))))</f>
        <v/>
      </c>
      <c r="K41" s="2"/>
      <c r="L41" s="13" t="str">
        <f aca="false">IF(A41="","",SUMIFS(Transactions!$E$2:$E$5000,Transactions!$N$2:$N$5000,A41,Transactions!$B$2:$B$5000,"&gt;="&amp;Settings!$B$4,Transactions!$B$2:$B$5000,"&lt;="&amp;EOMONTH(Settings!$B$4,0))-SUMIFS(Transactions!$E$2:$E$5000,Transactions!$N$2:$N$5000,A41,Transactions!$D$2:$D$5000,"Refund",Transactions!$B$2:$B$5000,"&gt;="&amp;Settings!$B$4,Transactions!$B$2:$B$5000,"&lt;="&amp;EOMONTH(Settings!$B$4,0)))</f>
        <v/>
      </c>
      <c r="M41" s="13" t="str">
        <f aca="false">IF(A41="","",IF(I41="Active",MAX(0,D41-L41),0))</f>
        <v/>
      </c>
      <c r="N41" s="2"/>
    </row>
    <row r="42" customFormat="false" ht="15" hidden="false" customHeight="false" outlineLevel="0" collapsed="false">
      <c r="A42" s="2"/>
      <c r="B42" s="2"/>
      <c r="C42" s="2"/>
      <c r="D42" s="13"/>
      <c r="E42" s="2"/>
      <c r="F42" s="2"/>
      <c r="G42" s="11"/>
      <c r="H42" s="11"/>
      <c r="I42" s="2"/>
      <c r="J42" s="2" t="str">
        <f aca="true">IF(A42="","",IF(I42&lt;&gt;"Active","Inactive",IF(L42&gt;=D42,"Paid",IF(L42&gt;0,"Partial",IF(DATE(YEAR(Settings!$B$4),MONTH(Settings!$B$4),MIN(E42,DAY(EOMONTH(Settings!$B$4,0))))&lt;TODAY(),"Overdue","Expected")))))</f>
        <v/>
      </c>
      <c r="K42" s="2"/>
      <c r="L42" s="13" t="str">
        <f aca="false">IF(A42="","",SUMIFS(Transactions!$E$2:$E$5000,Transactions!$N$2:$N$5000,A42,Transactions!$B$2:$B$5000,"&gt;="&amp;Settings!$B$4,Transactions!$B$2:$B$5000,"&lt;="&amp;EOMONTH(Settings!$B$4,0))-SUMIFS(Transactions!$E$2:$E$5000,Transactions!$N$2:$N$5000,A42,Transactions!$D$2:$D$5000,"Refund",Transactions!$B$2:$B$5000,"&gt;="&amp;Settings!$B$4,Transactions!$B$2:$B$5000,"&lt;="&amp;EOMONTH(Settings!$B$4,0)))</f>
        <v/>
      </c>
      <c r="M42" s="13" t="str">
        <f aca="false">IF(A42="","",IF(I42="Active",MAX(0,D42-L42),0))</f>
        <v/>
      </c>
      <c r="N42" s="2"/>
    </row>
    <row r="43" customFormat="false" ht="15" hidden="false" customHeight="false" outlineLevel="0" collapsed="false">
      <c r="A43" s="2"/>
      <c r="B43" s="2"/>
      <c r="C43" s="2"/>
      <c r="D43" s="13"/>
      <c r="E43" s="2"/>
      <c r="F43" s="2"/>
      <c r="G43" s="11"/>
      <c r="H43" s="11"/>
      <c r="I43" s="2"/>
      <c r="J43" s="2" t="str">
        <f aca="true">IF(A43="","",IF(I43&lt;&gt;"Active","Inactive",IF(L43&gt;=D43,"Paid",IF(L43&gt;0,"Partial",IF(DATE(YEAR(Settings!$B$4),MONTH(Settings!$B$4),MIN(E43,DAY(EOMONTH(Settings!$B$4,0))))&lt;TODAY(),"Overdue","Expected")))))</f>
        <v/>
      </c>
      <c r="K43" s="2"/>
      <c r="L43" s="13" t="str">
        <f aca="false">IF(A43="","",SUMIFS(Transactions!$E$2:$E$5000,Transactions!$N$2:$N$5000,A43,Transactions!$B$2:$B$5000,"&gt;="&amp;Settings!$B$4,Transactions!$B$2:$B$5000,"&lt;="&amp;EOMONTH(Settings!$B$4,0))-SUMIFS(Transactions!$E$2:$E$5000,Transactions!$N$2:$N$5000,A43,Transactions!$D$2:$D$5000,"Refund",Transactions!$B$2:$B$5000,"&gt;="&amp;Settings!$B$4,Transactions!$B$2:$B$5000,"&lt;="&amp;EOMONTH(Settings!$B$4,0)))</f>
        <v/>
      </c>
      <c r="M43" s="13" t="str">
        <f aca="false">IF(A43="","",IF(I43="Active",MAX(0,D43-L43),0))</f>
        <v/>
      </c>
      <c r="N43" s="2"/>
    </row>
    <row r="44" customFormat="false" ht="15" hidden="false" customHeight="false" outlineLevel="0" collapsed="false">
      <c r="A44" s="2"/>
      <c r="B44" s="2"/>
      <c r="C44" s="2"/>
      <c r="D44" s="13"/>
      <c r="E44" s="2"/>
      <c r="F44" s="2"/>
      <c r="G44" s="11"/>
      <c r="H44" s="11"/>
      <c r="I44" s="2"/>
      <c r="J44" s="2" t="str">
        <f aca="true">IF(A44="","",IF(I44&lt;&gt;"Active","Inactive",IF(L44&gt;=D44,"Paid",IF(L44&gt;0,"Partial",IF(DATE(YEAR(Settings!$B$4),MONTH(Settings!$B$4),MIN(E44,DAY(EOMONTH(Settings!$B$4,0))))&lt;TODAY(),"Overdue","Expected")))))</f>
        <v/>
      </c>
      <c r="K44" s="2"/>
      <c r="L44" s="13" t="str">
        <f aca="false">IF(A44="","",SUMIFS(Transactions!$E$2:$E$5000,Transactions!$N$2:$N$5000,A44,Transactions!$B$2:$B$5000,"&gt;="&amp;Settings!$B$4,Transactions!$B$2:$B$5000,"&lt;="&amp;EOMONTH(Settings!$B$4,0))-SUMIFS(Transactions!$E$2:$E$5000,Transactions!$N$2:$N$5000,A44,Transactions!$D$2:$D$5000,"Refund",Transactions!$B$2:$B$5000,"&gt;="&amp;Settings!$B$4,Transactions!$B$2:$B$5000,"&lt;="&amp;EOMONTH(Settings!$B$4,0)))</f>
        <v/>
      </c>
      <c r="M44" s="13" t="str">
        <f aca="false">IF(A44="","",IF(I44="Active",MAX(0,D44-L44),0))</f>
        <v/>
      </c>
      <c r="N44" s="2"/>
    </row>
    <row r="45" customFormat="false" ht="15" hidden="false" customHeight="false" outlineLevel="0" collapsed="false">
      <c r="A45" s="2"/>
      <c r="B45" s="2"/>
      <c r="C45" s="2"/>
      <c r="D45" s="13"/>
      <c r="E45" s="2"/>
      <c r="F45" s="2"/>
      <c r="G45" s="11"/>
      <c r="H45" s="11"/>
      <c r="I45" s="2"/>
      <c r="J45" s="2" t="str">
        <f aca="true">IF(A45="","",IF(I45&lt;&gt;"Active","Inactive",IF(L45&gt;=D45,"Paid",IF(L45&gt;0,"Partial",IF(DATE(YEAR(Settings!$B$4),MONTH(Settings!$B$4),MIN(E45,DAY(EOMONTH(Settings!$B$4,0))))&lt;TODAY(),"Overdue","Expected")))))</f>
        <v/>
      </c>
      <c r="K45" s="2"/>
      <c r="L45" s="13" t="str">
        <f aca="false">IF(A45="","",SUMIFS(Transactions!$E$2:$E$5000,Transactions!$N$2:$N$5000,A45,Transactions!$B$2:$B$5000,"&gt;="&amp;Settings!$B$4,Transactions!$B$2:$B$5000,"&lt;="&amp;EOMONTH(Settings!$B$4,0))-SUMIFS(Transactions!$E$2:$E$5000,Transactions!$N$2:$N$5000,A45,Transactions!$D$2:$D$5000,"Refund",Transactions!$B$2:$B$5000,"&gt;="&amp;Settings!$B$4,Transactions!$B$2:$B$5000,"&lt;="&amp;EOMONTH(Settings!$B$4,0)))</f>
        <v/>
      </c>
      <c r="M45" s="13" t="str">
        <f aca="false">IF(A45="","",IF(I45="Active",MAX(0,D45-L45),0))</f>
        <v/>
      </c>
      <c r="N45" s="2"/>
    </row>
    <row r="46" customFormat="false" ht="15" hidden="false" customHeight="false" outlineLevel="0" collapsed="false">
      <c r="A46" s="2"/>
      <c r="B46" s="2"/>
      <c r="C46" s="2"/>
      <c r="D46" s="13"/>
      <c r="E46" s="2"/>
      <c r="F46" s="2"/>
      <c r="G46" s="11"/>
      <c r="H46" s="11"/>
      <c r="I46" s="2"/>
      <c r="J46" s="2" t="str">
        <f aca="true">IF(A46="","",IF(I46&lt;&gt;"Active","Inactive",IF(L46&gt;=D46,"Paid",IF(L46&gt;0,"Partial",IF(DATE(YEAR(Settings!$B$4),MONTH(Settings!$B$4),MIN(E46,DAY(EOMONTH(Settings!$B$4,0))))&lt;TODAY(),"Overdue","Expected")))))</f>
        <v/>
      </c>
      <c r="K46" s="2"/>
      <c r="L46" s="13" t="str">
        <f aca="false">IF(A46="","",SUMIFS(Transactions!$E$2:$E$5000,Transactions!$N$2:$N$5000,A46,Transactions!$B$2:$B$5000,"&gt;="&amp;Settings!$B$4,Transactions!$B$2:$B$5000,"&lt;="&amp;EOMONTH(Settings!$B$4,0))-SUMIFS(Transactions!$E$2:$E$5000,Transactions!$N$2:$N$5000,A46,Transactions!$D$2:$D$5000,"Refund",Transactions!$B$2:$B$5000,"&gt;="&amp;Settings!$B$4,Transactions!$B$2:$B$5000,"&lt;="&amp;EOMONTH(Settings!$B$4,0)))</f>
        <v/>
      </c>
      <c r="M46" s="13" t="str">
        <f aca="false">IF(A46="","",IF(I46="Active",MAX(0,D46-L46),0))</f>
        <v/>
      </c>
      <c r="N46" s="2"/>
    </row>
    <row r="47" customFormat="false" ht="15" hidden="false" customHeight="false" outlineLevel="0" collapsed="false">
      <c r="A47" s="2"/>
      <c r="B47" s="2"/>
      <c r="C47" s="2"/>
      <c r="D47" s="13"/>
      <c r="E47" s="2"/>
      <c r="F47" s="2"/>
      <c r="G47" s="11"/>
      <c r="H47" s="11"/>
      <c r="I47" s="2"/>
      <c r="J47" s="2" t="str">
        <f aca="true">IF(A47="","",IF(I47&lt;&gt;"Active","Inactive",IF(L47&gt;=D47,"Paid",IF(L47&gt;0,"Partial",IF(DATE(YEAR(Settings!$B$4),MONTH(Settings!$B$4),MIN(E47,DAY(EOMONTH(Settings!$B$4,0))))&lt;TODAY(),"Overdue","Expected")))))</f>
        <v/>
      </c>
      <c r="K47" s="2"/>
      <c r="L47" s="13" t="str">
        <f aca="false">IF(A47="","",SUMIFS(Transactions!$E$2:$E$5000,Transactions!$N$2:$N$5000,A47,Transactions!$B$2:$B$5000,"&gt;="&amp;Settings!$B$4,Transactions!$B$2:$B$5000,"&lt;="&amp;EOMONTH(Settings!$B$4,0))-SUMIFS(Transactions!$E$2:$E$5000,Transactions!$N$2:$N$5000,A47,Transactions!$D$2:$D$5000,"Refund",Transactions!$B$2:$B$5000,"&gt;="&amp;Settings!$B$4,Transactions!$B$2:$B$5000,"&lt;="&amp;EOMONTH(Settings!$B$4,0)))</f>
        <v/>
      </c>
      <c r="M47" s="13" t="str">
        <f aca="false">IF(A47="","",IF(I47="Active",MAX(0,D47-L47),0))</f>
        <v/>
      </c>
      <c r="N47" s="2"/>
    </row>
    <row r="48" customFormat="false" ht="15" hidden="false" customHeight="false" outlineLevel="0" collapsed="false">
      <c r="A48" s="2"/>
      <c r="B48" s="2"/>
      <c r="C48" s="2"/>
      <c r="D48" s="13"/>
      <c r="E48" s="2"/>
      <c r="F48" s="2"/>
      <c r="G48" s="11"/>
      <c r="H48" s="11"/>
      <c r="I48" s="2"/>
      <c r="J48" s="2" t="str">
        <f aca="true">IF(A48="","",IF(I48&lt;&gt;"Active","Inactive",IF(L48&gt;=D48,"Paid",IF(L48&gt;0,"Partial",IF(DATE(YEAR(Settings!$B$4),MONTH(Settings!$B$4),MIN(E48,DAY(EOMONTH(Settings!$B$4,0))))&lt;TODAY(),"Overdue","Expected")))))</f>
        <v/>
      </c>
      <c r="K48" s="2"/>
      <c r="L48" s="13" t="str">
        <f aca="false">IF(A48="","",SUMIFS(Transactions!$E$2:$E$5000,Transactions!$N$2:$N$5000,A48,Transactions!$B$2:$B$5000,"&gt;="&amp;Settings!$B$4,Transactions!$B$2:$B$5000,"&lt;="&amp;EOMONTH(Settings!$B$4,0))-SUMIFS(Transactions!$E$2:$E$5000,Transactions!$N$2:$N$5000,A48,Transactions!$D$2:$D$5000,"Refund",Transactions!$B$2:$B$5000,"&gt;="&amp;Settings!$B$4,Transactions!$B$2:$B$5000,"&lt;="&amp;EOMONTH(Settings!$B$4,0)))</f>
        <v/>
      </c>
      <c r="M48" s="13" t="str">
        <f aca="false">IF(A48="","",IF(I48="Active",MAX(0,D48-L48),0))</f>
        <v/>
      </c>
      <c r="N48" s="2"/>
    </row>
    <row r="49" customFormat="false" ht="15" hidden="false" customHeight="false" outlineLevel="0" collapsed="false">
      <c r="A49" s="2"/>
      <c r="B49" s="2"/>
      <c r="C49" s="2"/>
      <c r="D49" s="13"/>
      <c r="E49" s="2"/>
      <c r="F49" s="2"/>
      <c r="G49" s="11"/>
      <c r="H49" s="11"/>
      <c r="I49" s="2"/>
      <c r="J49" s="2" t="str">
        <f aca="true">IF(A49="","",IF(I49&lt;&gt;"Active","Inactive",IF(L49&gt;=D49,"Paid",IF(L49&gt;0,"Partial",IF(DATE(YEAR(Settings!$B$4),MONTH(Settings!$B$4),MIN(E49,DAY(EOMONTH(Settings!$B$4,0))))&lt;TODAY(),"Overdue","Expected")))))</f>
        <v/>
      </c>
      <c r="K49" s="2"/>
      <c r="L49" s="13" t="str">
        <f aca="false">IF(A49="","",SUMIFS(Transactions!$E$2:$E$5000,Transactions!$N$2:$N$5000,A49,Transactions!$B$2:$B$5000,"&gt;="&amp;Settings!$B$4,Transactions!$B$2:$B$5000,"&lt;="&amp;EOMONTH(Settings!$B$4,0))-SUMIFS(Transactions!$E$2:$E$5000,Transactions!$N$2:$N$5000,A49,Transactions!$D$2:$D$5000,"Refund",Transactions!$B$2:$B$5000,"&gt;="&amp;Settings!$B$4,Transactions!$B$2:$B$5000,"&lt;="&amp;EOMONTH(Settings!$B$4,0)))</f>
        <v/>
      </c>
      <c r="M49" s="13" t="str">
        <f aca="false">IF(A49="","",IF(I49="Active",MAX(0,D49-L49),0))</f>
        <v/>
      </c>
      <c r="N49" s="2"/>
    </row>
    <row r="50" customFormat="false" ht="15" hidden="false" customHeight="false" outlineLevel="0" collapsed="false">
      <c r="A50" s="2"/>
      <c r="B50" s="2"/>
      <c r="C50" s="2"/>
      <c r="D50" s="13"/>
      <c r="E50" s="2"/>
      <c r="F50" s="2"/>
      <c r="G50" s="11"/>
      <c r="H50" s="11"/>
      <c r="I50" s="2"/>
      <c r="J50" s="2" t="str">
        <f aca="true">IF(A50="","",IF(I50&lt;&gt;"Active","Inactive",IF(L50&gt;=D50,"Paid",IF(L50&gt;0,"Partial",IF(DATE(YEAR(Settings!$B$4),MONTH(Settings!$B$4),MIN(E50,DAY(EOMONTH(Settings!$B$4,0))))&lt;TODAY(),"Overdue","Expected")))))</f>
        <v/>
      </c>
      <c r="K50" s="2"/>
      <c r="L50" s="13" t="str">
        <f aca="false">IF(A50="","",SUMIFS(Transactions!$E$2:$E$5000,Transactions!$N$2:$N$5000,A50,Transactions!$B$2:$B$5000,"&gt;="&amp;Settings!$B$4,Transactions!$B$2:$B$5000,"&lt;="&amp;EOMONTH(Settings!$B$4,0))-SUMIFS(Transactions!$E$2:$E$5000,Transactions!$N$2:$N$5000,A50,Transactions!$D$2:$D$5000,"Refund",Transactions!$B$2:$B$5000,"&gt;="&amp;Settings!$B$4,Transactions!$B$2:$B$5000,"&lt;="&amp;EOMONTH(Settings!$B$4,0)))</f>
        <v/>
      </c>
      <c r="M50" s="13" t="str">
        <f aca="false">IF(A50="","",IF(I50="Active",MAX(0,D50-L50),0))</f>
        <v/>
      </c>
      <c r="N50" s="2"/>
    </row>
    <row r="51" customFormat="false" ht="15" hidden="false" customHeight="false" outlineLevel="0" collapsed="false">
      <c r="A51" s="2"/>
      <c r="B51" s="2"/>
      <c r="C51" s="2"/>
      <c r="D51" s="13"/>
      <c r="E51" s="2"/>
      <c r="F51" s="2"/>
      <c r="G51" s="11"/>
      <c r="H51" s="11"/>
      <c r="I51" s="2"/>
      <c r="J51" s="2" t="str">
        <f aca="true">IF(A51="","",IF(I51&lt;&gt;"Active","Inactive",IF(L51&gt;=D51,"Paid",IF(L51&gt;0,"Partial",IF(DATE(YEAR(Settings!$B$4),MONTH(Settings!$B$4),MIN(E51,DAY(EOMONTH(Settings!$B$4,0))))&lt;TODAY(),"Overdue","Expected")))))</f>
        <v/>
      </c>
      <c r="K51" s="2"/>
      <c r="L51" s="13" t="str">
        <f aca="false">IF(A51="","",SUMIFS(Transactions!$E$2:$E$5000,Transactions!$N$2:$N$5000,A51,Transactions!$B$2:$B$5000,"&gt;="&amp;Settings!$B$4,Transactions!$B$2:$B$5000,"&lt;="&amp;EOMONTH(Settings!$B$4,0))-SUMIFS(Transactions!$E$2:$E$5000,Transactions!$N$2:$N$5000,A51,Transactions!$D$2:$D$5000,"Refund",Transactions!$B$2:$B$5000,"&gt;="&amp;Settings!$B$4,Transactions!$B$2:$B$5000,"&lt;="&amp;EOMONTH(Settings!$B$4,0)))</f>
        <v/>
      </c>
      <c r="M51" s="13" t="str">
        <f aca="false">IF(A51="","",IF(I51="Active",MAX(0,D51-L51),0))</f>
        <v/>
      </c>
      <c r="N51" s="2"/>
    </row>
    <row r="52" customFormat="false" ht="15" hidden="false" customHeight="false" outlineLevel="0" collapsed="false">
      <c r="A52" s="2"/>
      <c r="B52" s="2"/>
      <c r="C52" s="2"/>
      <c r="D52" s="13"/>
      <c r="E52" s="2"/>
      <c r="F52" s="2"/>
      <c r="G52" s="11"/>
      <c r="H52" s="11"/>
      <c r="I52" s="2"/>
      <c r="J52" s="2" t="str">
        <f aca="true">IF(A52="","",IF(I52&lt;&gt;"Active","Inactive",IF(L52&gt;=D52,"Paid",IF(L52&gt;0,"Partial",IF(DATE(YEAR(Settings!$B$4),MONTH(Settings!$B$4),MIN(E52,DAY(EOMONTH(Settings!$B$4,0))))&lt;TODAY(),"Overdue","Expected")))))</f>
        <v/>
      </c>
      <c r="K52" s="2"/>
      <c r="L52" s="13" t="str">
        <f aca="false">IF(A52="","",SUMIFS(Transactions!$E$2:$E$5000,Transactions!$N$2:$N$5000,A52,Transactions!$B$2:$B$5000,"&gt;="&amp;Settings!$B$4,Transactions!$B$2:$B$5000,"&lt;="&amp;EOMONTH(Settings!$B$4,0))-SUMIFS(Transactions!$E$2:$E$5000,Transactions!$N$2:$N$5000,A52,Transactions!$D$2:$D$5000,"Refund",Transactions!$B$2:$B$5000,"&gt;="&amp;Settings!$B$4,Transactions!$B$2:$B$5000,"&lt;="&amp;EOMONTH(Settings!$B$4,0)))</f>
        <v/>
      </c>
      <c r="M52" s="13" t="str">
        <f aca="false">IF(A52="","",IF(I52="Active",MAX(0,D52-L52),0))</f>
        <v/>
      </c>
      <c r="N52" s="2"/>
    </row>
    <row r="53" customFormat="false" ht="15" hidden="false" customHeight="false" outlineLevel="0" collapsed="false">
      <c r="A53" s="2"/>
      <c r="B53" s="2"/>
      <c r="C53" s="2"/>
      <c r="D53" s="13"/>
      <c r="E53" s="2"/>
      <c r="F53" s="2"/>
      <c r="G53" s="11"/>
      <c r="H53" s="11"/>
      <c r="I53" s="2"/>
      <c r="J53" s="2" t="str">
        <f aca="true">IF(A53="","",IF(I53&lt;&gt;"Active","Inactive",IF(L53&gt;=D53,"Paid",IF(L53&gt;0,"Partial",IF(DATE(YEAR(Settings!$B$4),MONTH(Settings!$B$4),MIN(E53,DAY(EOMONTH(Settings!$B$4,0))))&lt;TODAY(),"Overdue","Expected")))))</f>
        <v/>
      </c>
      <c r="K53" s="2"/>
      <c r="L53" s="13" t="str">
        <f aca="false">IF(A53="","",SUMIFS(Transactions!$E$2:$E$5000,Transactions!$N$2:$N$5000,A53,Transactions!$B$2:$B$5000,"&gt;="&amp;Settings!$B$4,Transactions!$B$2:$B$5000,"&lt;="&amp;EOMONTH(Settings!$B$4,0))-SUMIFS(Transactions!$E$2:$E$5000,Transactions!$N$2:$N$5000,A53,Transactions!$D$2:$D$5000,"Refund",Transactions!$B$2:$B$5000,"&gt;="&amp;Settings!$B$4,Transactions!$B$2:$B$5000,"&lt;="&amp;EOMONTH(Settings!$B$4,0)))</f>
        <v/>
      </c>
      <c r="M53" s="13" t="str">
        <f aca="false">IF(A53="","",IF(I53="Active",MAX(0,D53-L53),0))</f>
        <v/>
      </c>
      <c r="N53" s="2"/>
    </row>
    <row r="54" customFormat="false" ht="15" hidden="false" customHeight="false" outlineLevel="0" collapsed="false">
      <c r="A54" s="2"/>
      <c r="B54" s="2"/>
      <c r="C54" s="2"/>
      <c r="D54" s="13"/>
      <c r="E54" s="2"/>
      <c r="F54" s="2"/>
      <c r="G54" s="11"/>
      <c r="H54" s="11"/>
      <c r="I54" s="2"/>
      <c r="J54" s="2" t="str">
        <f aca="true">IF(A54="","",IF(I54&lt;&gt;"Active","Inactive",IF(L54&gt;=D54,"Paid",IF(L54&gt;0,"Partial",IF(DATE(YEAR(Settings!$B$4),MONTH(Settings!$B$4),MIN(E54,DAY(EOMONTH(Settings!$B$4,0))))&lt;TODAY(),"Overdue","Expected")))))</f>
        <v/>
      </c>
      <c r="K54" s="2"/>
      <c r="L54" s="13" t="str">
        <f aca="false">IF(A54="","",SUMIFS(Transactions!$E$2:$E$5000,Transactions!$N$2:$N$5000,A54,Transactions!$B$2:$B$5000,"&gt;="&amp;Settings!$B$4,Transactions!$B$2:$B$5000,"&lt;="&amp;EOMONTH(Settings!$B$4,0))-SUMIFS(Transactions!$E$2:$E$5000,Transactions!$N$2:$N$5000,A54,Transactions!$D$2:$D$5000,"Refund",Transactions!$B$2:$B$5000,"&gt;="&amp;Settings!$B$4,Transactions!$B$2:$B$5000,"&lt;="&amp;EOMONTH(Settings!$B$4,0)))</f>
        <v/>
      </c>
      <c r="M54" s="13" t="str">
        <f aca="false">IF(A54="","",IF(I54="Active",MAX(0,D54-L54),0))</f>
        <v/>
      </c>
      <c r="N54" s="2"/>
    </row>
    <row r="55" customFormat="false" ht="15" hidden="false" customHeight="false" outlineLevel="0" collapsed="false">
      <c r="A55" s="2"/>
      <c r="B55" s="2"/>
      <c r="C55" s="2"/>
      <c r="D55" s="13"/>
      <c r="E55" s="2"/>
      <c r="F55" s="2"/>
      <c r="G55" s="11"/>
      <c r="H55" s="11"/>
      <c r="I55" s="2"/>
      <c r="J55" s="2" t="str">
        <f aca="true">IF(A55="","",IF(I55&lt;&gt;"Active","Inactive",IF(L55&gt;=D55,"Paid",IF(L55&gt;0,"Partial",IF(DATE(YEAR(Settings!$B$4),MONTH(Settings!$B$4),MIN(E55,DAY(EOMONTH(Settings!$B$4,0))))&lt;TODAY(),"Overdue","Expected")))))</f>
        <v/>
      </c>
      <c r="K55" s="2"/>
      <c r="L55" s="13" t="str">
        <f aca="false">IF(A55="","",SUMIFS(Transactions!$E$2:$E$5000,Transactions!$N$2:$N$5000,A55,Transactions!$B$2:$B$5000,"&gt;="&amp;Settings!$B$4,Transactions!$B$2:$B$5000,"&lt;="&amp;EOMONTH(Settings!$B$4,0))-SUMIFS(Transactions!$E$2:$E$5000,Transactions!$N$2:$N$5000,A55,Transactions!$D$2:$D$5000,"Refund",Transactions!$B$2:$B$5000,"&gt;="&amp;Settings!$B$4,Transactions!$B$2:$B$5000,"&lt;="&amp;EOMONTH(Settings!$B$4,0)))</f>
        <v/>
      </c>
      <c r="M55" s="13" t="str">
        <f aca="false">IF(A55="","",IF(I55="Active",MAX(0,D55-L55),0))</f>
        <v/>
      </c>
      <c r="N55" s="2"/>
    </row>
    <row r="56" customFormat="false" ht="15" hidden="false" customHeight="false" outlineLevel="0" collapsed="false">
      <c r="A56" s="2"/>
      <c r="B56" s="2"/>
      <c r="C56" s="2"/>
      <c r="D56" s="13"/>
      <c r="E56" s="2"/>
      <c r="F56" s="2"/>
      <c r="G56" s="11"/>
      <c r="H56" s="11"/>
      <c r="I56" s="2"/>
      <c r="J56" s="2" t="str">
        <f aca="true">IF(A56="","",IF(I56&lt;&gt;"Active","Inactive",IF(L56&gt;=D56,"Paid",IF(L56&gt;0,"Partial",IF(DATE(YEAR(Settings!$B$4),MONTH(Settings!$B$4),MIN(E56,DAY(EOMONTH(Settings!$B$4,0))))&lt;TODAY(),"Overdue","Expected")))))</f>
        <v/>
      </c>
      <c r="K56" s="2"/>
      <c r="L56" s="13" t="str">
        <f aca="false">IF(A56="","",SUMIFS(Transactions!$E$2:$E$5000,Transactions!$N$2:$N$5000,A56,Transactions!$B$2:$B$5000,"&gt;="&amp;Settings!$B$4,Transactions!$B$2:$B$5000,"&lt;="&amp;EOMONTH(Settings!$B$4,0))-SUMIFS(Transactions!$E$2:$E$5000,Transactions!$N$2:$N$5000,A56,Transactions!$D$2:$D$5000,"Refund",Transactions!$B$2:$B$5000,"&gt;="&amp;Settings!$B$4,Transactions!$B$2:$B$5000,"&lt;="&amp;EOMONTH(Settings!$B$4,0)))</f>
        <v/>
      </c>
      <c r="M56" s="13" t="str">
        <f aca="false">IF(A56="","",IF(I56="Active",MAX(0,D56-L56),0))</f>
        <v/>
      </c>
      <c r="N56" s="2"/>
    </row>
    <row r="57" customFormat="false" ht="15" hidden="false" customHeight="false" outlineLevel="0" collapsed="false">
      <c r="A57" s="2"/>
      <c r="B57" s="2"/>
      <c r="C57" s="2"/>
      <c r="D57" s="13"/>
      <c r="E57" s="2"/>
      <c r="F57" s="2"/>
      <c r="G57" s="11"/>
      <c r="H57" s="11"/>
      <c r="I57" s="2"/>
      <c r="J57" s="2" t="str">
        <f aca="true">IF(A57="","",IF(I57&lt;&gt;"Active","Inactive",IF(L57&gt;=D57,"Paid",IF(L57&gt;0,"Partial",IF(DATE(YEAR(Settings!$B$4),MONTH(Settings!$B$4),MIN(E57,DAY(EOMONTH(Settings!$B$4,0))))&lt;TODAY(),"Overdue","Expected")))))</f>
        <v/>
      </c>
      <c r="K57" s="2"/>
      <c r="L57" s="13" t="str">
        <f aca="false">IF(A57="","",SUMIFS(Transactions!$E$2:$E$5000,Transactions!$N$2:$N$5000,A57,Transactions!$B$2:$B$5000,"&gt;="&amp;Settings!$B$4,Transactions!$B$2:$B$5000,"&lt;="&amp;EOMONTH(Settings!$B$4,0))-SUMIFS(Transactions!$E$2:$E$5000,Transactions!$N$2:$N$5000,A57,Transactions!$D$2:$D$5000,"Refund",Transactions!$B$2:$B$5000,"&gt;="&amp;Settings!$B$4,Transactions!$B$2:$B$5000,"&lt;="&amp;EOMONTH(Settings!$B$4,0)))</f>
        <v/>
      </c>
      <c r="M57" s="13" t="str">
        <f aca="false">IF(A57="","",IF(I57="Active",MAX(0,D57-L57),0))</f>
        <v/>
      </c>
      <c r="N57" s="2"/>
    </row>
    <row r="58" customFormat="false" ht="15" hidden="false" customHeight="false" outlineLevel="0" collapsed="false">
      <c r="A58" s="2"/>
      <c r="B58" s="2"/>
      <c r="C58" s="2"/>
      <c r="D58" s="13"/>
      <c r="E58" s="2"/>
      <c r="F58" s="2"/>
      <c r="G58" s="11"/>
      <c r="H58" s="11"/>
      <c r="I58" s="2"/>
      <c r="J58" s="2" t="str">
        <f aca="true">IF(A58="","",IF(I58&lt;&gt;"Active","Inactive",IF(L58&gt;=D58,"Paid",IF(L58&gt;0,"Partial",IF(DATE(YEAR(Settings!$B$4),MONTH(Settings!$B$4),MIN(E58,DAY(EOMONTH(Settings!$B$4,0))))&lt;TODAY(),"Overdue","Expected")))))</f>
        <v/>
      </c>
      <c r="K58" s="2"/>
      <c r="L58" s="13" t="str">
        <f aca="false">IF(A58="","",SUMIFS(Transactions!$E$2:$E$5000,Transactions!$N$2:$N$5000,A58,Transactions!$B$2:$B$5000,"&gt;="&amp;Settings!$B$4,Transactions!$B$2:$B$5000,"&lt;="&amp;EOMONTH(Settings!$B$4,0))-SUMIFS(Transactions!$E$2:$E$5000,Transactions!$N$2:$N$5000,A58,Transactions!$D$2:$D$5000,"Refund",Transactions!$B$2:$B$5000,"&gt;="&amp;Settings!$B$4,Transactions!$B$2:$B$5000,"&lt;="&amp;EOMONTH(Settings!$B$4,0)))</f>
        <v/>
      </c>
      <c r="M58" s="13" t="str">
        <f aca="false">IF(A58="","",IF(I58="Active",MAX(0,D58-L58),0))</f>
        <v/>
      </c>
      <c r="N58" s="2"/>
    </row>
    <row r="59" customFormat="false" ht="15" hidden="false" customHeight="false" outlineLevel="0" collapsed="false">
      <c r="A59" s="2"/>
      <c r="B59" s="2"/>
      <c r="C59" s="2"/>
      <c r="D59" s="13"/>
      <c r="E59" s="2"/>
      <c r="F59" s="2"/>
      <c r="G59" s="11"/>
      <c r="H59" s="11"/>
      <c r="I59" s="2"/>
      <c r="J59" s="2" t="str">
        <f aca="true">IF(A59="","",IF(I59&lt;&gt;"Active","Inactive",IF(L59&gt;=D59,"Paid",IF(L59&gt;0,"Partial",IF(DATE(YEAR(Settings!$B$4),MONTH(Settings!$B$4),MIN(E59,DAY(EOMONTH(Settings!$B$4,0))))&lt;TODAY(),"Overdue","Expected")))))</f>
        <v/>
      </c>
      <c r="K59" s="2"/>
      <c r="L59" s="13" t="str">
        <f aca="false">IF(A59="","",SUMIFS(Transactions!$E$2:$E$5000,Transactions!$N$2:$N$5000,A59,Transactions!$B$2:$B$5000,"&gt;="&amp;Settings!$B$4,Transactions!$B$2:$B$5000,"&lt;="&amp;EOMONTH(Settings!$B$4,0))-SUMIFS(Transactions!$E$2:$E$5000,Transactions!$N$2:$N$5000,A59,Transactions!$D$2:$D$5000,"Refund",Transactions!$B$2:$B$5000,"&gt;="&amp;Settings!$B$4,Transactions!$B$2:$B$5000,"&lt;="&amp;EOMONTH(Settings!$B$4,0)))</f>
        <v/>
      </c>
      <c r="M59" s="13" t="str">
        <f aca="false">IF(A59="","",IF(I59="Active",MAX(0,D59-L59),0))</f>
        <v/>
      </c>
      <c r="N59" s="2"/>
    </row>
    <row r="60" customFormat="false" ht="15" hidden="false" customHeight="false" outlineLevel="0" collapsed="false">
      <c r="A60" s="2"/>
      <c r="B60" s="2"/>
      <c r="C60" s="2"/>
      <c r="D60" s="13"/>
      <c r="E60" s="2"/>
      <c r="F60" s="2"/>
      <c r="G60" s="11"/>
      <c r="H60" s="11"/>
      <c r="I60" s="2"/>
      <c r="J60" s="2" t="str">
        <f aca="true">IF(A60="","",IF(I60&lt;&gt;"Active","Inactive",IF(L60&gt;=D60,"Paid",IF(L60&gt;0,"Partial",IF(DATE(YEAR(Settings!$B$4),MONTH(Settings!$B$4),MIN(E60,DAY(EOMONTH(Settings!$B$4,0))))&lt;TODAY(),"Overdue","Expected")))))</f>
        <v/>
      </c>
      <c r="K60" s="2"/>
      <c r="L60" s="13" t="str">
        <f aca="false">IF(A60="","",SUMIFS(Transactions!$E$2:$E$5000,Transactions!$N$2:$N$5000,A60,Transactions!$B$2:$B$5000,"&gt;="&amp;Settings!$B$4,Transactions!$B$2:$B$5000,"&lt;="&amp;EOMONTH(Settings!$B$4,0))-SUMIFS(Transactions!$E$2:$E$5000,Transactions!$N$2:$N$5000,A60,Transactions!$D$2:$D$5000,"Refund",Transactions!$B$2:$B$5000,"&gt;="&amp;Settings!$B$4,Transactions!$B$2:$B$5000,"&lt;="&amp;EOMONTH(Settings!$B$4,0)))</f>
        <v/>
      </c>
      <c r="M60" s="13" t="str">
        <f aca="false">IF(A60="","",IF(I60="Active",MAX(0,D60-L60),0))</f>
        <v/>
      </c>
      <c r="N60" s="2"/>
    </row>
    <row r="61" customFormat="false" ht="15" hidden="false" customHeight="false" outlineLevel="0" collapsed="false">
      <c r="A61" s="2"/>
      <c r="B61" s="2"/>
      <c r="C61" s="2"/>
      <c r="D61" s="13"/>
      <c r="E61" s="2"/>
      <c r="F61" s="2"/>
      <c r="G61" s="11"/>
      <c r="H61" s="11"/>
      <c r="I61" s="2"/>
      <c r="J61" s="2" t="str">
        <f aca="true">IF(A61="","",IF(I61&lt;&gt;"Active","Inactive",IF(L61&gt;=D61,"Paid",IF(L61&gt;0,"Partial",IF(DATE(YEAR(Settings!$B$4),MONTH(Settings!$B$4),MIN(E61,DAY(EOMONTH(Settings!$B$4,0))))&lt;TODAY(),"Overdue","Expected")))))</f>
        <v/>
      </c>
      <c r="K61" s="2"/>
      <c r="L61" s="13" t="str">
        <f aca="false">IF(A61="","",SUMIFS(Transactions!$E$2:$E$5000,Transactions!$N$2:$N$5000,A61,Transactions!$B$2:$B$5000,"&gt;="&amp;Settings!$B$4,Transactions!$B$2:$B$5000,"&lt;="&amp;EOMONTH(Settings!$B$4,0))-SUMIFS(Transactions!$E$2:$E$5000,Transactions!$N$2:$N$5000,A61,Transactions!$D$2:$D$5000,"Refund",Transactions!$B$2:$B$5000,"&gt;="&amp;Settings!$B$4,Transactions!$B$2:$B$5000,"&lt;="&amp;EOMONTH(Settings!$B$4,0)))</f>
        <v/>
      </c>
      <c r="M61" s="13" t="str">
        <f aca="false">IF(A61="","",IF(I61="Active",MAX(0,D61-L61),0))</f>
        <v/>
      </c>
      <c r="N61" s="2"/>
    </row>
    <row r="62" customFormat="false" ht="15" hidden="false" customHeight="false" outlineLevel="0" collapsed="false">
      <c r="A62" s="2"/>
      <c r="B62" s="2"/>
      <c r="C62" s="2"/>
      <c r="D62" s="13"/>
      <c r="E62" s="2"/>
      <c r="F62" s="2"/>
      <c r="G62" s="11"/>
      <c r="H62" s="11"/>
      <c r="I62" s="2"/>
      <c r="J62" s="2" t="str">
        <f aca="true">IF(A62="","",IF(I62&lt;&gt;"Active","Inactive",IF(L62&gt;=D62,"Paid",IF(L62&gt;0,"Partial",IF(DATE(YEAR(Settings!$B$4),MONTH(Settings!$B$4),MIN(E62,DAY(EOMONTH(Settings!$B$4,0))))&lt;TODAY(),"Overdue","Expected")))))</f>
        <v/>
      </c>
      <c r="K62" s="2"/>
      <c r="L62" s="13" t="str">
        <f aca="false">IF(A62="","",SUMIFS(Transactions!$E$2:$E$5000,Transactions!$N$2:$N$5000,A62,Transactions!$B$2:$B$5000,"&gt;="&amp;Settings!$B$4,Transactions!$B$2:$B$5000,"&lt;="&amp;EOMONTH(Settings!$B$4,0))-SUMIFS(Transactions!$E$2:$E$5000,Transactions!$N$2:$N$5000,A62,Transactions!$D$2:$D$5000,"Refund",Transactions!$B$2:$B$5000,"&gt;="&amp;Settings!$B$4,Transactions!$B$2:$B$5000,"&lt;="&amp;EOMONTH(Settings!$B$4,0)))</f>
        <v/>
      </c>
      <c r="M62" s="13" t="str">
        <f aca="false">IF(A62="","",IF(I62="Active",MAX(0,D62-L62),0))</f>
        <v/>
      </c>
      <c r="N62" s="2"/>
    </row>
    <row r="63" customFormat="false" ht="15" hidden="false" customHeight="false" outlineLevel="0" collapsed="false">
      <c r="A63" s="2"/>
      <c r="B63" s="2"/>
      <c r="C63" s="2"/>
      <c r="D63" s="13"/>
      <c r="E63" s="2"/>
      <c r="F63" s="2"/>
      <c r="G63" s="11"/>
      <c r="H63" s="11"/>
      <c r="I63" s="2"/>
      <c r="J63" s="2" t="str">
        <f aca="true">IF(A63="","",IF(I63&lt;&gt;"Active","Inactive",IF(L63&gt;=D63,"Paid",IF(L63&gt;0,"Partial",IF(DATE(YEAR(Settings!$B$4),MONTH(Settings!$B$4),MIN(E63,DAY(EOMONTH(Settings!$B$4,0))))&lt;TODAY(),"Overdue","Expected")))))</f>
        <v/>
      </c>
      <c r="K63" s="2"/>
      <c r="L63" s="13" t="str">
        <f aca="false">IF(A63="","",SUMIFS(Transactions!$E$2:$E$5000,Transactions!$N$2:$N$5000,A63,Transactions!$B$2:$B$5000,"&gt;="&amp;Settings!$B$4,Transactions!$B$2:$B$5000,"&lt;="&amp;EOMONTH(Settings!$B$4,0))-SUMIFS(Transactions!$E$2:$E$5000,Transactions!$N$2:$N$5000,A63,Transactions!$D$2:$D$5000,"Refund",Transactions!$B$2:$B$5000,"&gt;="&amp;Settings!$B$4,Transactions!$B$2:$B$5000,"&lt;="&amp;EOMONTH(Settings!$B$4,0)))</f>
        <v/>
      </c>
      <c r="M63" s="13" t="str">
        <f aca="false">IF(A63="","",IF(I63="Active",MAX(0,D63-L63),0))</f>
        <v/>
      </c>
      <c r="N63" s="2"/>
    </row>
    <row r="64" customFormat="false" ht="15" hidden="false" customHeight="false" outlineLevel="0" collapsed="false">
      <c r="A64" s="2"/>
      <c r="B64" s="2"/>
      <c r="C64" s="2"/>
      <c r="D64" s="13"/>
      <c r="E64" s="2"/>
      <c r="F64" s="2"/>
      <c r="G64" s="11"/>
      <c r="H64" s="11"/>
      <c r="I64" s="2"/>
      <c r="J64" s="2" t="str">
        <f aca="true">IF(A64="","",IF(I64&lt;&gt;"Active","Inactive",IF(L64&gt;=D64,"Paid",IF(L64&gt;0,"Partial",IF(DATE(YEAR(Settings!$B$4),MONTH(Settings!$B$4),MIN(E64,DAY(EOMONTH(Settings!$B$4,0))))&lt;TODAY(),"Overdue","Expected")))))</f>
        <v/>
      </c>
      <c r="K64" s="2"/>
      <c r="L64" s="13" t="str">
        <f aca="false">IF(A64="","",SUMIFS(Transactions!$E$2:$E$5000,Transactions!$N$2:$N$5000,A64,Transactions!$B$2:$B$5000,"&gt;="&amp;Settings!$B$4,Transactions!$B$2:$B$5000,"&lt;="&amp;EOMONTH(Settings!$B$4,0))-SUMIFS(Transactions!$E$2:$E$5000,Transactions!$N$2:$N$5000,A64,Transactions!$D$2:$D$5000,"Refund",Transactions!$B$2:$B$5000,"&gt;="&amp;Settings!$B$4,Transactions!$B$2:$B$5000,"&lt;="&amp;EOMONTH(Settings!$B$4,0)))</f>
        <v/>
      </c>
      <c r="M64" s="13" t="str">
        <f aca="false">IF(A64="","",IF(I64="Active",MAX(0,D64-L64),0))</f>
        <v/>
      </c>
      <c r="N64" s="2"/>
    </row>
    <row r="65" customFormat="false" ht="15" hidden="false" customHeight="false" outlineLevel="0" collapsed="false">
      <c r="A65" s="2"/>
      <c r="B65" s="2"/>
      <c r="C65" s="2"/>
      <c r="D65" s="13"/>
      <c r="E65" s="2"/>
      <c r="F65" s="2"/>
      <c r="G65" s="11"/>
      <c r="H65" s="11"/>
      <c r="I65" s="2"/>
      <c r="J65" s="2" t="str">
        <f aca="true">IF(A65="","",IF(I65&lt;&gt;"Active","Inactive",IF(L65&gt;=D65,"Paid",IF(L65&gt;0,"Partial",IF(DATE(YEAR(Settings!$B$4),MONTH(Settings!$B$4),MIN(E65,DAY(EOMONTH(Settings!$B$4,0))))&lt;TODAY(),"Overdue","Expected")))))</f>
        <v/>
      </c>
      <c r="K65" s="2"/>
      <c r="L65" s="13" t="str">
        <f aca="false">IF(A65="","",SUMIFS(Transactions!$E$2:$E$5000,Transactions!$N$2:$N$5000,A65,Transactions!$B$2:$B$5000,"&gt;="&amp;Settings!$B$4,Transactions!$B$2:$B$5000,"&lt;="&amp;EOMONTH(Settings!$B$4,0))-SUMIFS(Transactions!$E$2:$E$5000,Transactions!$N$2:$N$5000,A65,Transactions!$D$2:$D$5000,"Refund",Transactions!$B$2:$B$5000,"&gt;="&amp;Settings!$B$4,Transactions!$B$2:$B$5000,"&lt;="&amp;EOMONTH(Settings!$B$4,0)))</f>
        <v/>
      </c>
      <c r="M65" s="13" t="str">
        <f aca="false">IF(A65="","",IF(I65="Active",MAX(0,D65-L65),0))</f>
        <v/>
      </c>
      <c r="N65" s="2"/>
    </row>
    <row r="66" customFormat="false" ht="15" hidden="false" customHeight="false" outlineLevel="0" collapsed="false">
      <c r="A66" s="2"/>
      <c r="B66" s="2"/>
      <c r="C66" s="2"/>
      <c r="D66" s="13"/>
      <c r="E66" s="2"/>
      <c r="F66" s="2"/>
      <c r="G66" s="11"/>
      <c r="H66" s="11"/>
      <c r="I66" s="2"/>
      <c r="J66" s="2" t="str">
        <f aca="true">IF(A66="","",IF(I66&lt;&gt;"Active","Inactive",IF(L66&gt;=D66,"Paid",IF(L66&gt;0,"Partial",IF(DATE(YEAR(Settings!$B$4),MONTH(Settings!$B$4),MIN(E66,DAY(EOMONTH(Settings!$B$4,0))))&lt;TODAY(),"Overdue","Expected")))))</f>
        <v/>
      </c>
      <c r="K66" s="2"/>
      <c r="L66" s="13" t="str">
        <f aca="false">IF(A66="","",SUMIFS(Transactions!$E$2:$E$5000,Transactions!$N$2:$N$5000,A66,Transactions!$B$2:$B$5000,"&gt;="&amp;Settings!$B$4,Transactions!$B$2:$B$5000,"&lt;="&amp;EOMONTH(Settings!$B$4,0))-SUMIFS(Transactions!$E$2:$E$5000,Transactions!$N$2:$N$5000,A66,Transactions!$D$2:$D$5000,"Refund",Transactions!$B$2:$B$5000,"&gt;="&amp;Settings!$B$4,Transactions!$B$2:$B$5000,"&lt;="&amp;EOMONTH(Settings!$B$4,0)))</f>
        <v/>
      </c>
      <c r="M66" s="13" t="str">
        <f aca="false">IF(A66="","",IF(I66="Active",MAX(0,D66-L66),0))</f>
        <v/>
      </c>
      <c r="N66" s="2"/>
    </row>
    <row r="67" customFormat="false" ht="15" hidden="false" customHeight="false" outlineLevel="0" collapsed="false">
      <c r="A67" s="2"/>
      <c r="B67" s="2"/>
      <c r="C67" s="2"/>
      <c r="D67" s="13"/>
      <c r="E67" s="2"/>
      <c r="F67" s="2"/>
      <c r="G67" s="11"/>
      <c r="H67" s="11"/>
      <c r="I67" s="2"/>
      <c r="J67" s="2" t="str">
        <f aca="true">IF(A67="","",IF(I67&lt;&gt;"Active","Inactive",IF(L67&gt;=D67,"Paid",IF(L67&gt;0,"Partial",IF(DATE(YEAR(Settings!$B$4),MONTH(Settings!$B$4),MIN(E67,DAY(EOMONTH(Settings!$B$4,0))))&lt;TODAY(),"Overdue","Expected")))))</f>
        <v/>
      </c>
      <c r="K67" s="2"/>
      <c r="L67" s="13" t="str">
        <f aca="false">IF(A67="","",SUMIFS(Transactions!$E$2:$E$5000,Transactions!$N$2:$N$5000,A67,Transactions!$B$2:$B$5000,"&gt;="&amp;Settings!$B$4,Transactions!$B$2:$B$5000,"&lt;="&amp;EOMONTH(Settings!$B$4,0))-SUMIFS(Transactions!$E$2:$E$5000,Transactions!$N$2:$N$5000,A67,Transactions!$D$2:$D$5000,"Refund",Transactions!$B$2:$B$5000,"&gt;="&amp;Settings!$B$4,Transactions!$B$2:$B$5000,"&lt;="&amp;EOMONTH(Settings!$B$4,0)))</f>
        <v/>
      </c>
      <c r="M67" s="13" t="str">
        <f aca="false">IF(A67="","",IF(I67="Active",MAX(0,D67-L67),0))</f>
        <v/>
      </c>
      <c r="N67" s="2"/>
    </row>
    <row r="68" customFormat="false" ht="15" hidden="false" customHeight="false" outlineLevel="0" collapsed="false">
      <c r="A68" s="2"/>
      <c r="B68" s="2"/>
      <c r="C68" s="2"/>
      <c r="D68" s="13"/>
      <c r="E68" s="2"/>
      <c r="F68" s="2"/>
      <c r="G68" s="11"/>
      <c r="H68" s="11"/>
      <c r="I68" s="2"/>
      <c r="J68" s="2" t="str">
        <f aca="true">IF(A68="","",IF(I68&lt;&gt;"Active","Inactive",IF(L68&gt;=D68,"Paid",IF(L68&gt;0,"Partial",IF(DATE(YEAR(Settings!$B$4),MONTH(Settings!$B$4),MIN(E68,DAY(EOMONTH(Settings!$B$4,0))))&lt;TODAY(),"Overdue","Expected")))))</f>
        <v/>
      </c>
      <c r="K68" s="2"/>
      <c r="L68" s="13" t="str">
        <f aca="false">IF(A68="","",SUMIFS(Transactions!$E$2:$E$5000,Transactions!$N$2:$N$5000,A68,Transactions!$B$2:$B$5000,"&gt;="&amp;Settings!$B$4,Transactions!$B$2:$B$5000,"&lt;="&amp;EOMONTH(Settings!$B$4,0))-SUMIFS(Transactions!$E$2:$E$5000,Transactions!$N$2:$N$5000,A68,Transactions!$D$2:$D$5000,"Refund",Transactions!$B$2:$B$5000,"&gt;="&amp;Settings!$B$4,Transactions!$B$2:$B$5000,"&lt;="&amp;EOMONTH(Settings!$B$4,0)))</f>
        <v/>
      </c>
      <c r="M68" s="13" t="str">
        <f aca="false">IF(A68="","",IF(I68="Active",MAX(0,D68-L68),0))</f>
        <v/>
      </c>
      <c r="N68" s="2"/>
    </row>
    <row r="69" customFormat="false" ht="15" hidden="false" customHeight="false" outlineLevel="0" collapsed="false">
      <c r="A69" s="2"/>
      <c r="B69" s="2"/>
      <c r="C69" s="2"/>
      <c r="D69" s="13"/>
      <c r="E69" s="2"/>
      <c r="F69" s="2"/>
      <c r="G69" s="11"/>
      <c r="H69" s="11"/>
      <c r="I69" s="2"/>
      <c r="J69" s="2" t="str">
        <f aca="true">IF(A69="","",IF(I69&lt;&gt;"Active","Inactive",IF(L69&gt;=D69,"Paid",IF(L69&gt;0,"Partial",IF(DATE(YEAR(Settings!$B$4),MONTH(Settings!$B$4),MIN(E69,DAY(EOMONTH(Settings!$B$4,0))))&lt;TODAY(),"Overdue","Expected")))))</f>
        <v/>
      </c>
      <c r="K69" s="2"/>
      <c r="L69" s="13" t="str">
        <f aca="false">IF(A69="","",SUMIFS(Transactions!$E$2:$E$5000,Transactions!$N$2:$N$5000,A69,Transactions!$B$2:$B$5000,"&gt;="&amp;Settings!$B$4,Transactions!$B$2:$B$5000,"&lt;="&amp;EOMONTH(Settings!$B$4,0))-SUMIFS(Transactions!$E$2:$E$5000,Transactions!$N$2:$N$5000,A69,Transactions!$D$2:$D$5000,"Refund",Transactions!$B$2:$B$5000,"&gt;="&amp;Settings!$B$4,Transactions!$B$2:$B$5000,"&lt;="&amp;EOMONTH(Settings!$B$4,0)))</f>
        <v/>
      </c>
      <c r="M69" s="13" t="str">
        <f aca="false">IF(A69="","",IF(I69="Active",MAX(0,D69-L69),0))</f>
        <v/>
      </c>
      <c r="N69" s="2"/>
    </row>
    <row r="70" customFormat="false" ht="15" hidden="false" customHeight="false" outlineLevel="0" collapsed="false">
      <c r="A70" s="2"/>
      <c r="B70" s="2"/>
      <c r="C70" s="2"/>
      <c r="D70" s="13"/>
      <c r="E70" s="2"/>
      <c r="F70" s="2"/>
      <c r="G70" s="11"/>
      <c r="H70" s="11"/>
      <c r="I70" s="2"/>
      <c r="J70" s="2" t="str">
        <f aca="true">IF(A70="","",IF(I70&lt;&gt;"Active","Inactive",IF(L70&gt;=D70,"Paid",IF(L70&gt;0,"Partial",IF(DATE(YEAR(Settings!$B$4),MONTH(Settings!$B$4),MIN(E70,DAY(EOMONTH(Settings!$B$4,0))))&lt;TODAY(),"Overdue","Expected")))))</f>
        <v/>
      </c>
      <c r="K70" s="2"/>
      <c r="L70" s="13" t="str">
        <f aca="false">IF(A70="","",SUMIFS(Transactions!$E$2:$E$5000,Transactions!$N$2:$N$5000,A70,Transactions!$B$2:$B$5000,"&gt;="&amp;Settings!$B$4,Transactions!$B$2:$B$5000,"&lt;="&amp;EOMONTH(Settings!$B$4,0))-SUMIFS(Transactions!$E$2:$E$5000,Transactions!$N$2:$N$5000,A70,Transactions!$D$2:$D$5000,"Refund",Transactions!$B$2:$B$5000,"&gt;="&amp;Settings!$B$4,Transactions!$B$2:$B$5000,"&lt;="&amp;EOMONTH(Settings!$B$4,0)))</f>
        <v/>
      </c>
      <c r="M70" s="13" t="str">
        <f aca="false">IF(A70="","",IF(I70="Active",MAX(0,D70-L70),0))</f>
        <v/>
      </c>
      <c r="N70" s="2"/>
    </row>
    <row r="71" customFormat="false" ht="15" hidden="false" customHeight="false" outlineLevel="0" collapsed="false">
      <c r="A71" s="2"/>
      <c r="B71" s="2"/>
      <c r="C71" s="2"/>
      <c r="D71" s="13"/>
      <c r="E71" s="2"/>
      <c r="F71" s="2"/>
      <c r="G71" s="11"/>
      <c r="H71" s="11"/>
      <c r="I71" s="2"/>
      <c r="J71" s="2" t="str">
        <f aca="true">IF(A71="","",IF(I71&lt;&gt;"Active","Inactive",IF(L71&gt;=D71,"Paid",IF(L71&gt;0,"Partial",IF(DATE(YEAR(Settings!$B$4),MONTH(Settings!$B$4),MIN(E71,DAY(EOMONTH(Settings!$B$4,0))))&lt;TODAY(),"Overdue","Expected")))))</f>
        <v/>
      </c>
      <c r="K71" s="2"/>
      <c r="L71" s="13" t="str">
        <f aca="false">IF(A71="","",SUMIFS(Transactions!$E$2:$E$5000,Transactions!$N$2:$N$5000,A71,Transactions!$B$2:$B$5000,"&gt;="&amp;Settings!$B$4,Transactions!$B$2:$B$5000,"&lt;="&amp;EOMONTH(Settings!$B$4,0))-SUMIFS(Transactions!$E$2:$E$5000,Transactions!$N$2:$N$5000,A71,Transactions!$D$2:$D$5000,"Refund",Transactions!$B$2:$B$5000,"&gt;="&amp;Settings!$B$4,Transactions!$B$2:$B$5000,"&lt;="&amp;EOMONTH(Settings!$B$4,0)))</f>
        <v/>
      </c>
      <c r="M71" s="13" t="str">
        <f aca="false">IF(A71="","",IF(I71="Active",MAX(0,D71-L71),0))</f>
        <v/>
      </c>
      <c r="N71" s="2"/>
    </row>
    <row r="72" customFormat="false" ht="15" hidden="false" customHeight="false" outlineLevel="0" collapsed="false">
      <c r="A72" s="2"/>
      <c r="B72" s="2"/>
      <c r="C72" s="2"/>
      <c r="D72" s="13"/>
      <c r="E72" s="2"/>
      <c r="F72" s="2"/>
      <c r="G72" s="11"/>
      <c r="H72" s="11"/>
      <c r="I72" s="2"/>
      <c r="J72" s="2" t="str">
        <f aca="true">IF(A72="","",IF(I72&lt;&gt;"Active","Inactive",IF(L72&gt;=D72,"Paid",IF(L72&gt;0,"Partial",IF(DATE(YEAR(Settings!$B$4),MONTH(Settings!$B$4),MIN(E72,DAY(EOMONTH(Settings!$B$4,0))))&lt;TODAY(),"Overdue","Expected")))))</f>
        <v/>
      </c>
      <c r="K72" s="2"/>
      <c r="L72" s="13" t="str">
        <f aca="false">IF(A72="","",SUMIFS(Transactions!$E$2:$E$5000,Transactions!$N$2:$N$5000,A72,Transactions!$B$2:$B$5000,"&gt;="&amp;Settings!$B$4,Transactions!$B$2:$B$5000,"&lt;="&amp;EOMONTH(Settings!$B$4,0))-SUMIFS(Transactions!$E$2:$E$5000,Transactions!$N$2:$N$5000,A72,Transactions!$D$2:$D$5000,"Refund",Transactions!$B$2:$B$5000,"&gt;="&amp;Settings!$B$4,Transactions!$B$2:$B$5000,"&lt;="&amp;EOMONTH(Settings!$B$4,0)))</f>
        <v/>
      </c>
      <c r="M72" s="13" t="str">
        <f aca="false">IF(A72="","",IF(I72="Active",MAX(0,D72-L72),0))</f>
        <v/>
      </c>
      <c r="N72" s="2"/>
    </row>
    <row r="73" customFormat="false" ht="15" hidden="false" customHeight="false" outlineLevel="0" collapsed="false">
      <c r="A73" s="2"/>
      <c r="B73" s="2"/>
      <c r="C73" s="2"/>
      <c r="D73" s="13"/>
      <c r="E73" s="2"/>
      <c r="F73" s="2"/>
      <c r="G73" s="11"/>
      <c r="H73" s="11"/>
      <c r="I73" s="2"/>
      <c r="J73" s="2" t="str">
        <f aca="true">IF(A73="","",IF(I73&lt;&gt;"Active","Inactive",IF(L73&gt;=D73,"Paid",IF(L73&gt;0,"Partial",IF(DATE(YEAR(Settings!$B$4),MONTH(Settings!$B$4),MIN(E73,DAY(EOMONTH(Settings!$B$4,0))))&lt;TODAY(),"Overdue","Expected")))))</f>
        <v/>
      </c>
      <c r="K73" s="2"/>
      <c r="L73" s="13" t="str">
        <f aca="false">IF(A73="","",SUMIFS(Transactions!$E$2:$E$5000,Transactions!$N$2:$N$5000,A73,Transactions!$B$2:$B$5000,"&gt;="&amp;Settings!$B$4,Transactions!$B$2:$B$5000,"&lt;="&amp;EOMONTH(Settings!$B$4,0))-SUMIFS(Transactions!$E$2:$E$5000,Transactions!$N$2:$N$5000,A73,Transactions!$D$2:$D$5000,"Refund",Transactions!$B$2:$B$5000,"&gt;="&amp;Settings!$B$4,Transactions!$B$2:$B$5000,"&lt;="&amp;EOMONTH(Settings!$B$4,0)))</f>
        <v/>
      </c>
      <c r="M73" s="13" t="str">
        <f aca="false">IF(A73="","",IF(I73="Active",MAX(0,D73-L73),0))</f>
        <v/>
      </c>
      <c r="N73" s="2"/>
    </row>
    <row r="74" customFormat="false" ht="15" hidden="false" customHeight="false" outlineLevel="0" collapsed="false">
      <c r="A74" s="2"/>
      <c r="B74" s="2"/>
      <c r="C74" s="2"/>
      <c r="D74" s="13"/>
      <c r="E74" s="2"/>
      <c r="F74" s="2"/>
      <c r="G74" s="11"/>
      <c r="H74" s="11"/>
      <c r="I74" s="2"/>
      <c r="J74" s="2" t="str">
        <f aca="true">IF(A74="","",IF(I74&lt;&gt;"Active","Inactive",IF(L74&gt;=D74,"Paid",IF(L74&gt;0,"Partial",IF(DATE(YEAR(Settings!$B$4),MONTH(Settings!$B$4),MIN(E74,DAY(EOMONTH(Settings!$B$4,0))))&lt;TODAY(),"Overdue","Expected")))))</f>
        <v/>
      </c>
      <c r="K74" s="2"/>
      <c r="L74" s="13" t="str">
        <f aca="false">IF(A74="","",SUMIFS(Transactions!$E$2:$E$5000,Transactions!$N$2:$N$5000,A74,Transactions!$B$2:$B$5000,"&gt;="&amp;Settings!$B$4,Transactions!$B$2:$B$5000,"&lt;="&amp;EOMONTH(Settings!$B$4,0))-SUMIFS(Transactions!$E$2:$E$5000,Transactions!$N$2:$N$5000,A74,Transactions!$D$2:$D$5000,"Refund",Transactions!$B$2:$B$5000,"&gt;="&amp;Settings!$B$4,Transactions!$B$2:$B$5000,"&lt;="&amp;EOMONTH(Settings!$B$4,0)))</f>
        <v/>
      </c>
      <c r="M74" s="13" t="str">
        <f aca="false">IF(A74="","",IF(I74="Active",MAX(0,D74-L74),0))</f>
        <v/>
      </c>
      <c r="N74" s="2"/>
    </row>
    <row r="75" customFormat="false" ht="15" hidden="false" customHeight="false" outlineLevel="0" collapsed="false">
      <c r="A75" s="2"/>
      <c r="B75" s="2"/>
      <c r="C75" s="2"/>
      <c r="D75" s="13"/>
      <c r="E75" s="2"/>
      <c r="F75" s="2"/>
      <c r="G75" s="11"/>
      <c r="H75" s="11"/>
      <c r="I75" s="2"/>
      <c r="J75" s="2" t="str">
        <f aca="true">IF(A75="","",IF(I75&lt;&gt;"Active","Inactive",IF(L75&gt;=D75,"Paid",IF(L75&gt;0,"Partial",IF(DATE(YEAR(Settings!$B$4),MONTH(Settings!$B$4),MIN(E75,DAY(EOMONTH(Settings!$B$4,0))))&lt;TODAY(),"Overdue","Expected")))))</f>
        <v/>
      </c>
      <c r="K75" s="2"/>
      <c r="L75" s="13" t="str">
        <f aca="false">IF(A75="","",SUMIFS(Transactions!$E$2:$E$5000,Transactions!$N$2:$N$5000,A75,Transactions!$B$2:$B$5000,"&gt;="&amp;Settings!$B$4,Transactions!$B$2:$B$5000,"&lt;="&amp;EOMONTH(Settings!$B$4,0))-SUMIFS(Transactions!$E$2:$E$5000,Transactions!$N$2:$N$5000,A75,Transactions!$D$2:$D$5000,"Refund",Transactions!$B$2:$B$5000,"&gt;="&amp;Settings!$B$4,Transactions!$B$2:$B$5000,"&lt;="&amp;EOMONTH(Settings!$B$4,0)))</f>
        <v/>
      </c>
      <c r="M75" s="13" t="str">
        <f aca="false">IF(A75="","",IF(I75="Active",MAX(0,D75-L75),0))</f>
        <v/>
      </c>
      <c r="N75" s="2"/>
    </row>
    <row r="76" customFormat="false" ht="15" hidden="false" customHeight="false" outlineLevel="0" collapsed="false">
      <c r="A76" s="2"/>
      <c r="B76" s="2"/>
      <c r="C76" s="2"/>
      <c r="D76" s="13"/>
      <c r="E76" s="2"/>
      <c r="F76" s="2"/>
      <c r="G76" s="11"/>
      <c r="H76" s="11"/>
      <c r="I76" s="2"/>
      <c r="J76" s="2" t="str">
        <f aca="true">IF(A76="","",IF(I76&lt;&gt;"Active","Inactive",IF(L76&gt;=D76,"Paid",IF(L76&gt;0,"Partial",IF(DATE(YEAR(Settings!$B$4),MONTH(Settings!$B$4),MIN(E76,DAY(EOMONTH(Settings!$B$4,0))))&lt;TODAY(),"Overdue","Expected")))))</f>
        <v/>
      </c>
      <c r="K76" s="2"/>
      <c r="L76" s="13" t="str">
        <f aca="false">IF(A76="","",SUMIFS(Transactions!$E$2:$E$5000,Transactions!$N$2:$N$5000,A76,Transactions!$B$2:$B$5000,"&gt;="&amp;Settings!$B$4,Transactions!$B$2:$B$5000,"&lt;="&amp;EOMONTH(Settings!$B$4,0))-SUMIFS(Transactions!$E$2:$E$5000,Transactions!$N$2:$N$5000,A76,Transactions!$D$2:$D$5000,"Refund",Transactions!$B$2:$B$5000,"&gt;="&amp;Settings!$B$4,Transactions!$B$2:$B$5000,"&lt;="&amp;EOMONTH(Settings!$B$4,0)))</f>
        <v/>
      </c>
      <c r="M76" s="13" t="str">
        <f aca="false">IF(A76="","",IF(I76="Active",MAX(0,D76-L76),0))</f>
        <v/>
      </c>
      <c r="N76" s="2"/>
    </row>
    <row r="77" customFormat="false" ht="15" hidden="false" customHeight="false" outlineLevel="0" collapsed="false">
      <c r="A77" s="2"/>
      <c r="B77" s="2"/>
      <c r="C77" s="2"/>
      <c r="D77" s="13"/>
      <c r="E77" s="2"/>
      <c r="F77" s="2"/>
      <c r="G77" s="11"/>
      <c r="H77" s="11"/>
      <c r="I77" s="2"/>
      <c r="J77" s="2" t="str">
        <f aca="true">IF(A77="","",IF(I77&lt;&gt;"Active","Inactive",IF(L77&gt;=D77,"Paid",IF(L77&gt;0,"Partial",IF(DATE(YEAR(Settings!$B$4),MONTH(Settings!$B$4),MIN(E77,DAY(EOMONTH(Settings!$B$4,0))))&lt;TODAY(),"Overdue","Expected")))))</f>
        <v/>
      </c>
      <c r="K77" s="2"/>
      <c r="L77" s="13" t="str">
        <f aca="false">IF(A77="","",SUMIFS(Transactions!$E$2:$E$5000,Transactions!$N$2:$N$5000,A77,Transactions!$B$2:$B$5000,"&gt;="&amp;Settings!$B$4,Transactions!$B$2:$B$5000,"&lt;="&amp;EOMONTH(Settings!$B$4,0))-SUMIFS(Transactions!$E$2:$E$5000,Transactions!$N$2:$N$5000,A77,Transactions!$D$2:$D$5000,"Refund",Transactions!$B$2:$B$5000,"&gt;="&amp;Settings!$B$4,Transactions!$B$2:$B$5000,"&lt;="&amp;EOMONTH(Settings!$B$4,0)))</f>
        <v/>
      </c>
      <c r="M77" s="13" t="str">
        <f aca="false">IF(A77="","",IF(I77="Active",MAX(0,D77-L77),0))</f>
        <v/>
      </c>
      <c r="N77" s="2"/>
    </row>
    <row r="78" customFormat="false" ht="15" hidden="false" customHeight="false" outlineLevel="0" collapsed="false">
      <c r="A78" s="2"/>
      <c r="B78" s="2"/>
      <c r="C78" s="2"/>
      <c r="D78" s="13"/>
      <c r="E78" s="2"/>
      <c r="F78" s="2"/>
      <c r="G78" s="11"/>
      <c r="H78" s="11"/>
      <c r="I78" s="2"/>
      <c r="J78" s="2" t="str">
        <f aca="true">IF(A78="","",IF(I78&lt;&gt;"Active","Inactive",IF(L78&gt;=D78,"Paid",IF(L78&gt;0,"Partial",IF(DATE(YEAR(Settings!$B$4),MONTH(Settings!$B$4),MIN(E78,DAY(EOMONTH(Settings!$B$4,0))))&lt;TODAY(),"Overdue","Expected")))))</f>
        <v/>
      </c>
      <c r="K78" s="2"/>
      <c r="L78" s="13" t="str">
        <f aca="false">IF(A78="","",SUMIFS(Transactions!$E$2:$E$5000,Transactions!$N$2:$N$5000,A78,Transactions!$B$2:$B$5000,"&gt;="&amp;Settings!$B$4,Transactions!$B$2:$B$5000,"&lt;="&amp;EOMONTH(Settings!$B$4,0))-SUMIFS(Transactions!$E$2:$E$5000,Transactions!$N$2:$N$5000,A78,Transactions!$D$2:$D$5000,"Refund",Transactions!$B$2:$B$5000,"&gt;="&amp;Settings!$B$4,Transactions!$B$2:$B$5000,"&lt;="&amp;EOMONTH(Settings!$B$4,0)))</f>
        <v/>
      </c>
      <c r="M78" s="13" t="str">
        <f aca="false">IF(A78="","",IF(I78="Active",MAX(0,D78-L78),0))</f>
        <v/>
      </c>
      <c r="N78" s="2"/>
    </row>
    <row r="79" customFormat="false" ht="15" hidden="false" customHeight="false" outlineLevel="0" collapsed="false">
      <c r="A79" s="2"/>
      <c r="B79" s="2"/>
      <c r="C79" s="2"/>
      <c r="D79" s="13"/>
      <c r="E79" s="2"/>
      <c r="F79" s="2"/>
      <c r="G79" s="11"/>
      <c r="H79" s="11"/>
      <c r="I79" s="2"/>
      <c r="J79" s="2" t="str">
        <f aca="true">IF(A79="","",IF(I79&lt;&gt;"Active","Inactive",IF(L79&gt;=D79,"Paid",IF(L79&gt;0,"Partial",IF(DATE(YEAR(Settings!$B$4),MONTH(Settings!$B$4),MIN(E79,DAY(EOMONTH(Settings!$B$4,0))))&lt;TODAY(),"Overdue","Expected")))))</f>
        <v/>
      </c>
      <c r="K79" s="2"/>
      <c r="L79" s="13" t="str">
        <f aca="false">IF(A79="","",SUMIFS(Transactions!$E$2:$E$5000,Transactions!$N$2:$N$5000,A79,Transactions!$B$2:$B$5000,"&gt;="&amp;Settings!$B$4,Transactions!$B$2:$B$5000,"&lt;="&amp;EOMONTH(Settings!$B$4,0))-SUMIFS(Transactions!$E$2:$E$5000,Transactions!$N$2:$N$5000,A79,Transactions!$D$2:$D$5000,"Refund",Transactions!$B$2:$B$5000,"&gt;="&amp;Settings!$B$4,Transactions!$B$2:$B$5000,"&lt;="&amp;EOMONTH(Settings!$B$4,0)))</f>
        <v/>
      </c>
      <c r="M79" s="13" t="str">
        <f aca="false">IF(A79="","",IF(I79="Active",MAX(0,D79-L79),0))</f>
        <v/>
      </c>
      <c r="N79" s="2"/>
    </row>
    <row r="80" customFormat="false" ht="15" hidden="false" customHeight="false" outlineLevel="0" collapsed="false">
      <c r="A80" s="2"/>
      <c r="B80" s="2"/>
      <c r="C80" s="2"/>
      <c r="D80" s="13"/>
      <c r="E80" s="2"/>
      <c r="F80" s="2"/>
      <c r="G80" s="11"/>
      <c r="H80" s="11"/>
      <c r="I80" s="2"/>
      <c r="J80" s="2" t="str">
        <f aca="true">IF(A80="","",IF(I80&lt;&gt;"Active","Inactive",IF(L80&gt;=D80,"Paid",IF(L80&gt;0,"Partial",IF(DATE(YEAR(Settings!$B$4),MONTH(Settings!$B$4),MIN(E80,DAY(EOMONTH(Settings!$B$4,0))))&lt;TODAY(),"Overdue","Expected")))))</f>
        <v/>
      </c>
      <c r="K80" s="2"/>
      <c r="L80" s="13" t="str">
        <f aca="false">IF(A80="","",SUMIFS(Transactions!$E$2:$E$5000,Transactions!$N$2:$N$5000,A80,Transactions!$B$2:$B$5000,"&gt;="&amp;Settings!$B$4,Transactions!$B$2:$B$5000,"&lt;="&amp;EOMONTH(Settings!$B$4,0))-SUMIFS(Transactions!$E$2:$E$5000,Transactions!$N$2:$N$5000,A80,Transactions!$D$2:$D$5000,"Refund",Transactions!$B$2:$B$5000,"&gt;="&amp;Settings!$B$4,Transactions!$B$2:$B$5000,"&lt;="&amp;EOMONTH(Settings!$B$4,0)))</f>
        <v/>
      </c>
      <c r="M80" s="13" t="str">
        <f aca="false">IF(A80="","",IF(I80="Active",MAX(0,D80-L80),0))</f>
        <v/>
      </c>
      <c r="N80" s="2"/>
    </row>
    <row r="81" customFormat="false" ht="15" hidden="false" customHeight="false" outlineLevel="0" collapsed="false">
      <c r="A81" s="2"/>
      <c r="B81" s="2"/>
      <c r="C81" s="2"/>
      <c r="D81" s="13"/>
      <c r="E81" s="2"/>
      <c r="F81" s="2"/>
      <c r="G81" s="11"/>
      <c r="H81" s="11"/>
      <c r="I81" s="2"/>
      <c r="J81" s="2" t="str">
        <f aca="true">IF(A81="","",IF(I81&lt;&gt;"Active","Inactive",IF(L81&gt;=D81,"Paid",IF(L81&gt;0,"Partial",IF(DATE(YEAR(Settings!$B$4),MONTH(Settings!$B$4),MIN(E81,DAY(EOMONTH(Settings!$B$4,0))))&lt;TODAY(),"Overdue","Expected")))))</f>
        <v/>
      </c>
      <c r="K81" s="2"/>
      <c r="L81" s="13" t="str">
        <f aca="false">IF(A81="","",SUMIFS(Transactions!$E$2:$E$5000,Transactions!$N$2:$N$5000,A81,Transactions!$B$2:$B$5000,"&gt;="&amp;Settings!$B$4,Transactions!$B$2:$B$5000,"&lt;="&amp;EOMONTH(Settings!$B$4,0))-SUMIFS(Transactions!$E$2:$E$5000,Transactions!$N$2:$N$5000,A81,Transactions!$D$2:$D$5000,"Refund",Transactions!$B$2:$B$5000,"&gt;="&amp;Settings!$B$4,Transactions!$B$2:$B$5000,"&lt;="&amp;EOMONTH(Settings!$B$4,0)))</f>
        <v/>
      </c>
      <c r="M81" s="13" t="str">
        <f aca="false">IF(A81="","",IF(I81="Active",MAX(0,D81-L81),0))</f>
        <v/>
      </c>
      <c r="N81" s="2"/>
    </row>
    <row r="82" customFormat="false" ht="15" hidden="false" customHeight="false" outlineLevel="0" collapsed="false">
      <c r="A82" s="2"/>
      <c r="B82" s="2"/>
      <c r="C82" s="2"/>
      <c r="D82" s="13"/>
      <c r="E82" s="2"/>
      <c r="F82" s="2"/>
      <c r="G82" s="11"/>
      <c r="H82" s="11"/>
      <c r="I82" s="2"/>
      <c r="J82" s="2" t="str">
        <f aca="true">IF(A82="","",IF(I82&lt;&gt;"Active","Inactive",IF(L82&gt;=D82,"Paid",IF(L82&gt;0,"Partial",IF(DATE(YEAR(Settings!$B$4),MONTH(Settings!$B$4),MIN(E82,DAY(EOMONTH(Settings!$B$4,0))))&lt;TODAY(),"Overdue","Expected")))))</f>
        <v/>
      </c>
      <c r="K82" s="2"/>
      <c r="L82" s="13" t="str">
        <f aca="false">IF(A82="","",SUMIFS(Transactions!$E$2:$E$5000,Transactions!$N$2:$N$5000,A82,Transactions!$B$2:$B$5000,"&gt;="&amp;Settings!$B$4,Transactions!$B$2:$B$5000,"&lt;="&amp;EOMONTH(Settings!$B$4,0))-SUMIFS(Transactions!$E$2:$E$5000,Transactions!$N$2:$N$5000,A82,Transactions!$D$2:$D$5000,"Refund",Transactions!$B$2:$B$5000,"&gt;="&amp;Settings!$B$4,Transactions!$B$2:$B$5000,"&lt;="&amp;EOMONTH(Settings!$B$4,0)))</f>
        <v/>
      </c>
      <c r="M82" s="13" t="str">
        <f aca="false">IF(A82="","",IF(I82="Active",MAX(0,D82-L82),0))</f>
        <v/>
      </c>
      <c r="N82" s="2"/>
    </row>
    <row r="83" customFormat="false" ht="15" hidden="false" customHeight="false" outlineLevel="0" collapsed="false">
      <c r="A83" s="2"/>
      <c r="B83" s="2"/>
      <c r="C83" s="2"/>
      <c r="D83" s="13"/>
      <c r="E83" s="2"/>
      <c r="F83" s="2"/>
      <c r="G83" s="11"/>
      <c r="H83" s="11"/>
      <c r="I83" s="2"/>
      <c r="J83" s="2" t="str">
        <f aca="true">IF(A83="","",IF(I83&lt;&gt;"Active","Inactive",IF(L83&gt;=D83,"Paid",IF(L83&gt;0,"Partial",IF(DATE(YEAR(Settings!$B$4),MONTH(Settings!$B$4),MIN(E83,DAY(EOMONTH(Settings!$B$4,0))))&lt;TODAY(),"Overdue","Expected")))))</f>
        <v/>
      </c>
      <c r="K83" s="2"/>
      <c r="L83" s="13" t="str">
        <f aca="false">IF(A83="","",SUMIFS(Transactions!$E$2:$E$5000,Transactions!$N$2:$N$5000,A83,Transactions!$B$2:$B$5000,"&gt;="&amp;Settings!$B$4,Transactions!$B$2:$B$5000,"&lt;="&amp;EOMONTH(Settings!$B$4,0))-SUMIFS(Transactions!$E$2:$E$5000,Transactions!$N$2:$N$5000,A83,Transactions!$D$2:$D$5000,"Refund",Transactions!$B$2:$B$5000,"&gt;="&amp;Settings!$B$4,Transactions!$B$2:$B$5000,"&lt;="&amp;EOMONTH(Settings!$B$4,0)))</f>
        <v/>
      </c>
      <c r="M83" s="13" t="str">
        <f aca="false">IF(A83="","",IF(I83="Active",MAX(0,D83-L83),0))</f>
        <v/>
      </c>
      <c r="N83" s="2"/>
    </row>
    <row r="84" customFormat="false" ht="15" hidden="false" customHeight="false" outlineLevel="0" collapsed="false">
      <c r="A84" s="2"/>
      <c r="B84" s="2"/>
      <c r="C84" s="2"/>
      <c r="D84" s="13"/>
      <c r="E84" s="2"/>
      <c r="F84" s="2"/>
      <c r="G84" s="11"/>
      <c r="H84" s="11"/>
      <c r="I84" s="2"/>
      <c r="J84" s="2" t="str">
        <f aca="true">IF(A84="","",IF(I84&lt;&gt;"Active","Inactive",IF(L84&gt;=D84,"Paid",IF(L84&gt;0,"Partial",IF(DATE(YEAR(Settings!$B$4),MONTH(Settings!$B$4),MIN(E84,DAY(EOMONTH(Settings!$B$4,0))))&lt;TODAY(),"Overdue","Expected")))))</f>
        <v/>
      </c>
      <c r="K84" s="2"/>
      <c r="L84" s="13" t="str">
        <f aca="false">IF(A84="","",SUMIFS(Transactions!$E$2:$E$5000,Transactions!$N$2:$N$5000,A84,Transactions!$B$2:$B$5000,"&gt;="&amp;Settings!$B$4,Transactions!$B$2:$B$5000,"&lt;="&amp;EOMONTH(Settings!$B$4,0))-SUMIFS(Transactions!$E$2:$E$5000,Transactions!$N$2:$N$5000,A84,Transactions!$D$2:$D$5000,"Refund",Transactions!$B$2:$B$5000,"&gt;="&amp;Settings!$B$4,Transactions!$B$2:$B$5000,"&lt;="&amp;EOMONTH(Settings!$B$4,0)))</f>
        <v/>
      </c>
      <c r="M84" s="13" t="str">
        <f aca="false">IF(A84="","",IF(I84="Active",MAX(0,D84-L84),0))</f>
        <v/>
      </c>
      <c r="N84" s="2"/>
    </row>
    <row r="85" customFormat="false" ht="15" hidden="false" customHeight="false" outlineLevel="0" collapsed="false">
      <c r="A85" s="2"/>
      <c r="B85" s="2"/>
      <c r="C85" s="2"/>
      <c r="D85" s="13"/>
      <c r="E85" s="2"/>
      <c r="F85" s="2"/>
      <c r="G85" s="11"/>
      <c r="H85" s="11"/>
      <c r="I85" s="2"/>
      <c r="J85" s="2" t="str">
        <f aca="true">IF(A85="","",IF(I85&lt;&gt;"Active","Inactive",IF(L85&gt;=D85,"Paid",IF(L85&gt;0,"Partial",IF(DATE(YEAR(Settings!$B$4),MONTH(Settings!$B$4),MIN(E85,DAY(EOMONTH(Settings!$B$4,0))))&lt;TODAY(),"Overdue","Expected")))))</f>
        <v/>
      </c>
      <c r="K85" s="2"/>
      <c r="L85" s="13" t="str">
        <f aca="false">IF(A85="","",SUMIFS(Transactions!$E$2:$E$5000,Transactions!$N$2:$N$5000,A85,Transactions!$B$2:$B$5000,"&gt;="&amp;Settings!$B$4,Transactions!$B$2:$B$5000,"&lt;="&amp;EOMONTH(Settings!$B$4,0))-SUMIFS(Transactions!$E$2:$E$5000,Transactions!$N$2:$N$5000,A85,Transactions!$D$2:$D$5000,"Refund",Transactions!$B$2:$B$5000,"&gt;="&amp;Settings!$B$4,Transactions!$B$2:$B$5000,"&lt;="&amp;EOMONTH(Settings!$B$4,0)))</f>
        <v/>
      </c>
      <c r="M85" s="13" t="str">
        <f aca="false">IF(A85="","",IF(I85="Active",MAX(0,D85-L85),0))</f>
        <v/>
      </c>
      <c r="N85" s="2"/>
    </row>
    <row r="86" customFormat="false" ht="15" hidden="false" customHeight="false" outlineLevel="0" collapsed="false">
      <c r="A86" s="2"/>
      <c r="B86" s="2"/>
      <c r="C86" s="2"/>
      <c r="D86" s="13"/>
      <c r="E86" s="2"/>
      <c r="F86" s="2"/>
      <c r="G86" s="11"/>
      <c r="H86" s="11"/>
      <c r="I86" s="2"/>
      <c r="J86" s="2" t="str">
        <f aca="true">IF(A86="","",IF(I86&lt;&gt;"Active","Inactive",IF(L86&gt;=D86,"Paid",IF(L86&gt;0,"Partial",IF(DATE(YEAR(Settings!$B$4),MONTH(Settings!$B$4),MIN(E86,DAY(EOMONTH(Settings!$B$4,0))))&lt;TODAY(),"Overdue","Expected")))))</f>
        <v/>
      </c>
      <c r="K86" s="2"/>
      <c r="L86" s="13" t="str">
        <f aca="false">IF(A86="","",SUMIFS(Transactions!$E$2:$E$5000,Transactions!$N$2:$N$5000,A86,Transactions!$B$2:$B$5000,"&gt;="&amp;Settings!$B$4,Transactions!$B$2:$B$5000,"&lt;="&amp;EOMONTH(Settings!$B$4,0))-SUMIFS(Transactions!$E$2:$E$5000,Transactions!$N$2:$N$5000,A86,Transactions!$D$2:$D$5000,"Refund",Transactions!$B$2:$B$5000,"&gt;="&amp;Settings!$B$4,Transactions!$B$2:$B$5000,"&lt;="&amp;EOMONTH(Settings!$B$4,0)))</f>
        <v/>
      </c>
      <c r="M86" s="13" t="str">
        <f aca="false">IF(A86="","",IF(I86="Active",MAX(0,D86-L86),0))</f>
        <v/>
      </c>
      <c r="N86" s="2"/>
    </row>
    <row r="87" customFormat="false" ht="15" hidden="false" customHeight="false" outlineLevel="0" collapsed="false">
      <c r="A87" s="2"/>
      <c r="B87" s="2"/>
      <c r="C87" s="2"/>
      <c r="D87" s="13"/>
      <c r="E87" s="2"/>
      <c r="F87" s="2"/>
      <c r="G87" s="11"/>
      <c r="H87" s="11"/>
      <c r="I87" s="2"/>
      <c r="J87" s="2" t="str">
        <f aca="true">IF(A87="","",IF(I87&lt;&gt;"Active","Inactive",IF(L87&gt;=D87,"Paid",IF(L87&gt;0,"Partial",IF(DATE(YEAR(Settings!$B$4),MONTH(Settings!$B$4),MIN(E87,DAY(EOMONTH(Settings!$B$4,0))))&lt;TODAY(),"Overdue","Expected")))))</f>
        <v/>
      </c>
      <c r="K87" s="2"/>
      <c r="L87" s="13" t="str">
        <f aca="false">IF(A87="","",SUMIFS(Transactions!$E$2:$E$5000,Transactions!$N$2:$N$5000,A87,Transactions!$B$2:$B$5000,"&gt;="&amp;Settings!$B$4,Transactions!$B$2:$B$5000,"&lt;="&amp;EOMONTH(Settings!$B$4,0))-SUMIFS(Transactions!$E$2:$E$5000,Transactions!$N$2:$N$5000,A87,Transactions!$D$2:$D$5000,"Refund",Transactions!$B$2:$B$5000,"&gt;="&amp;Settings!$B$4,Transactions!$B$2:$B$5000,"&lt;="&amp;EOMONTH(Settings!$B$4,0)))</f>
        <v/>
      </c>
      <c r="M87" s="13" t="str">
        <f aca="false">IF(A87="","",IF(I87="Active",MAX(0,D87-L87),0))</f>
        <v/>
      </c>
      <c r="N87" s="2"/>
    </row>
    <row r="88" customFormat="false" ht="15" hidden="false" customHeight="false" outlineLevel="0" collapsed="false">
      <c r="A88" s="2"/>
      <c r="B88" s="2"/>
      <c r="C88" s="2"/>
      <c r="D88" s="13"/>
      <c r="E88" s="2"/>
      <c r="F88" s="2"/>
      <c r="G88" s="11"/>
      <c r="H88" s="11"/>
      <c r="I88" s="2"/>
      <c r="J88" s="2" t="str">
        <f aca="true">IF(A88="","",IF(I88&lt;&gt;"Active","Inactive",IF(L88&gt;=D88,"Paid",IF(L88&gt;0,"Partial",IF(DATE(YEAR(Settings!$B$4),MONTH(Settings!$B$4),MIN(E88,DAY(EOMONTH(Settings!$B$4,0))))&lt;TODAY(),"Overdue","Expected")))))</f>
        <v/>
      </c>
      <c r="K88" s="2"/>
      <c r="L88" s="13" t="str">
        <f aca="false">IF(A88="","",SUMIFS(Transactions!$E$2:$E$5000,Transactions!$N$2:$N$5000,A88,Transactions!$B$2:$B$5000,"&gt;="&amp;Settings!$B$4,Transactions!$B$2:$B$5000,"&lt;="&amp;EOMONTH(Settings!$B$4,0))-SUMIFS(Transactions!$E$2:$E$5000,Transactions!$N$2:$N$5000,A88,Transactions!$D$2:$D$5000,"Refund",Transactions!$B$2:$B$5000,"&gt;="&amp;Settings!$B$4,Transactions!$B$2:$B$5000,"&lt;="&amp;EOMONTH(Settings!$B$4,0)))</f>
        <v/>
      </c>
      <c r="M88" s="13" t="str">
        <f aca="false">IF(A88="","",IF(I88="Active",MAX(0,D88-L88),0))</f>
        <v/>
      </c>
      <c r="N88" s="2"/>
    </row>
    <row r="89" customFormat="false" ht="15" hidden="false" customHeight="false" outlineLevel="0" collapsed="false">
      <c r="A89" s="2"/>
      <c r="B89" s="2"/>
      <c r="C89" s="2"/>
      <c r="D89" s="13"/>
      <c r="E89" s="2"/>
      <c r="F89" s="2"/>
      <c r="G89" s="11"/>
      <c r="H89" s="11"/>
      <c r="I89" s="2"/>
      <c r="J89" s="2" t="str">
        <f aca="true">IF(A89="","",IF(I89&lt;&gt;"Active","Inactive",IF(L89&gt;=D89,"Paid",IF(L89&gt;0,"Partial",IF(DATE(YEAR(Settings!$B$4),MONTH(Settings!$B$4),MIN(E89,DAY(EOMONTH(Settings!$B$4,0))))&lt;TODAY(),"Overdue","Expected")))))</f>
        <v/>
      </c>
      <c r="K89" s="2"/>
      <c r="L89" s="13" t="str">
        <f aca="false">IF(A89="","",SUMIFS(Transactions!$E$2:$E$5000,Transactions!$N$2:$N$5000,A89,Transactions!$B$2:$B$5000,"&gt;="&amp;Settings!$B$4,Transactions!$B$2:$B$5000,"&lt;="&amp;EOMONTH(Settings!$B$4,0))-SUMIFS(Transactions!$E$2:$E$5000,Transactions!$N$2:$N$5000,A89,Transactions!$D$2:$D$5000,"Refund",Transactions!$B$2:$B$5000,"&gt;="&amp;Settings!$B$4,Transactions!$B$2:$B$5000,"&lt;="&amp;EOMONTH(Settings!$B$4,0)))</f>
        <v/>
      </c>
      <c r="M89" s="13" t="str">
        <f aca="false">IF(A89="","",IF(I89="Active",MAX(0,D89-L89),0))</f>
        <v/>
      </c>
      <c r="N89" s="2"/>
    </row>
    <row r="90" customFormat="false" ht="15" hidden="false" customHeight="false" outlineLevel="0" collapsed="false">
      <c r="A90" s="2"/>
      <c r="B90" s="2"/>
      <c r="C90" s="2"/>
      <c r="D90" s="13"/>
      <c r="E90" s="2"/>
      <c r="F90" s="2"/>
      <c r="G90" s="11"/>
      <c r="H90" s="11"/>
      <c r="I90" s="2"/>
      <c r="J90" s="2" t="str">
        <f aca="true">IF(A90="","",IF(I90&lt;&gt;"Active","Inactive",IF(L90&gt;=D90,"Paid",IF(L90&gt;0,"Partial",IF(DATE(YEAR(Settings!$B$4),MONTH(Settings!$B$4),MIN(E90,DAY(EOMONTH(Settings!$B$4,0))))&lt;TODAY(),"Overdue","Expected")))))</f>
        <v/>
      </c>
      <c r="K90" s="2"/>
      <c r="L90" s="13" t="str">
        <f aca="false">IF(A90="","",SUMIFS(Transactions!$E$2:$E$5000,Transactions!$N$2:$N$5000,A90,Transactions!$B$2:$B$5000,"&gt;="&amp;Settings!$B$4,Transactions!$B$2:$B$5000,"&lt;="&amp;EOMONTH(Settings!$B$4,0))-SUMIFS(Transactions!$E$2:$E$5000,Transactions!$N$2:$N$5000,A90,Transactions!$D$2:$D$5000,"Refund",Transactions!$B$2:$B$5000,"&gt;="&amp;Settings!$B$4,Transactions!$B$2:$B$5000,"&lt;="&amp;EOMONTH(Settings!$B$4,0)))</f>
        <v/>
      </c>
      <c r="M90" s="13" t="str">
        <f aca="false">IF(A90="","",IF(I90="Active",MAX(0,D90-L90),0))</f>
        <v/>
      </c>
      <c r="N90" s="2"/>
    </row>
    <row r="91" customFormat="false" ht="15" hidden="false" customHeight="false" outlineLevel="0" collapsed="false">
      <c r="A91" s="2"/>
      <c r="B91" s="2"/>
      <c r="C91" s="2"/>
      <c r="D91" s="13"/>
      <c r="E91" s="2"/>
      <c r="F91" s="2"/>
      <c r="G91" s="11"/>
      <c r="H91" s="11"/>
      <c r="I91" s="2"/>
      <c r="J91" s="2" t="str">
        <f aca="true">IF(A91="","",IF(I91&lt;&gt;"Active","Inactive",IF(L91&gt;=D91,"Paid",IF(L91&gt;0,"Partial",IF(DATE(YEAR(Settings!$B$4),MONTH(Settings!$B$4),MIN(E91,DAY(EOMONTH(Settings!$B$4,0))))&lt;TODAY(),"Overdue","Expected")))))</f>
        <v/>
      </c>
      <c r="K91" s="2"/>
      <c r="L91" s="13" t="str">
        <f aca="false">IF(A91="","",SUMIFS(Transactions!$E$2:$E$5000,Transactions!$N$2:$N$5000,A91,Transactions!$B$2:$B$5000,"&gt;="&amp;Settings!$B$4,Transactions!$B$2:$B$5000,"&lt;="&amp;EOMONTH(Settings!$B$4,0))-SUMIFS(Transactions!$E$2:$E$5000,Transactions!$N$2:$N$5000,A91,Transactions!$D$2:$D$5000,"Refund",Transactions!$B$2:$B$5000,"&gt;="&amp;Settings!$B$4,Transactions!$B$2:$B$5000,"&lt;="&amp;EOMONTH(Settings!$B$4,0)))</f>
        <v/>
      </c>
      <c r="M91" s="13" t="str">
        <f aca="false">IF(A91="","",IF(I91="Active",MAX(0,D91-L91),0))</f>
        <v/>
      </c>
      <c r="N91" s="2"/>
    </row>
    <row r="92" customFormat="false" ht="15" hidden="false" customHeight="false" outlineLevel="0" collapsed="false">
      <c r="A92" s="2"/>
      <c r="B92" s="2"/>
      <c r="C92" s="2"/>
      <c r="D92" s="13"/>
      <c r="E92" s="2"/>
      <c r="F92" s="2"/>
      <c r="G92" s="11"/>
      <c r="H92" s="11"/>
      <c r="I92" s="2"/>
      <c r="J92" s="2" t="str">
        <f aca="true">IF(A92="","",IF(I92&lt;&gt;"Active","Inactive",IF(L92&gt;=D92,"Paid",IF(L92&gt;0,"Partial",IF(DATE(YEAR(Settings!$B$4),MONTH(Settings!$B$4),MIN(E92,DAY(EOMONTH(Settings!$B$4,0))))&lt;TODAY(),"Overdue","Expected")))))</f>
        <v/>
      </c>
      <c r="K92" s="2"/>
      <c r="L92" s="13" t="str">
        <f aca="false">IF(A92="","",SUMIFS(Transactions!$E$2:$E$5000,Transactions!$N$2:$N$5000,A92,Transactions!$B$2:$B$5000,"&gt;="&amp;Settings!$B$4,Transactions!$B$2:$B$5000,"&lt;="&amp;EOMONTH(Settings!$B$4,0))-SUMIFS(Transactions!$E$2:$E$5000,Transactions!$N$2:$N$5000,A92,Transactions!$D$2:$D$5000,"Refund",Transactions!$B$2:$B$5000,"&gt;="&amp;Settings!$B$4,Transactions!$B$2:$B$5000,"&lt;="&amp;EOMONTH(Settings!$B$4,0)))</f>
        <v/>
      </c>
      <c r="M92" s="13" t="str">
        <f aca="false">IF(A92="","",IF(I92="Active",MAX(0,D92-L92),0))</f>
        <v/>
      </c>
      <c r="N92" s="2"/>
    </row>
    <row r="93" customFormat="false" ht="15" hidden="false" customHeight="false" outlineLevel="0" collapsed="false">
      <c r="A93" s="2"/>
      <c r="B93" s="2"/>
      <c r="C93" s="2"/>
      <c r="D93" s="13"/>
      <c r="E93" s="2"/>
      <c r="F93" s="2"/>
      <c r="G93" s="11"/>
      <c r="H93" s="11"/>
      <c r="I93" s="2"/>
      <c r="J93" s="2" t="str">
        <f aca="true">IF(A93="","",IF(I93&lt;&gt;"Active","Inactive",IF(L93&gt;=D93,"Paid",IF(L93&gt;0,"Partial",IF(DATE(YEAR(Settings!$B$4),MONTH(Settings!$B$4),MIN(E93,DAY(EOMONTH(Settings!$B$4,0))))&lt;TODAY(),"Overdue","Expected")))))</f>
        <v/>
      </c>
      <c r="K93" s="2"/>
      <c r="L93" s="13" t="str">
        <f aca="false">IF(A93="","",SUMIFS(Transactions!$E$2:$E$5000,Transactions!$N$2:$N$5000,A93,Transactions!$B$2:$B$5000,"&gt;="&amp;Settings!$B$4,Transactions!$B$2:$B$5000,"&lt;="&amp;EOMONTH(Settings!$B$4,0))-SUMIFS(Transactions!$E$2:$E$5000,Transactions!$N$2:$N$5000,A93,Transactions!$D$2:$D$5000,"Refund",Transactions!$B$2:$B$5000,"&gt;="&amp;Settings!$B$4,Transactions!$B$2:$B$5000,"&lt;="&amp;EOMONTH(Settings!$B$4,0)))</f>
        <v/>
      </c>
      <c r="M93" s="13" t="str">
        <f aca="false">IF(A93="","",IF(I93="Active",MAX(0,D93-L93),0))</f>
        <v/>
      </c>
      <c r="N93" s="2"/>
    </row>
    <row r="94" customFormat="false" ht="15" hidden="false" customHeight="false" outlineLevel="0" collapsed="false">
      <c r="A94" s="2"/>
      <c r="B94" s="2"/>
      <c r="C94" s="2"/>
      <c r="D94" s="13"/>
      <c r="E94" s="2"/>
      <c r="F94" s="2"/>
      <c r="G94" s="11"/>
      <c r="H94" s="11"/>
      <c r="I94" s="2"/>
      <c r="J94" s="2" t="str">
        <f aca="true">IF(A94="","",IF(I94&lt;&gt;"Active","Inactive",IF(L94&gt;=D94,"Paid",IF(L94&gt;0,"Partial",IF(DATE(YEAR(Settings!$B$4),MONTH(Settings!$B$4),MIN(E94,DAY(EOMONTH(Settings!$B$4,0))))&lt;TODAY(),"Overdue","Expected")))))</f>
        <v/>
      </c>
      <c r="K94" s="2"/>
      <c r="L94" s="13" t="str">
        <f aca="false">IF(A94="","",SUMIFS(Transactions!$E$2:$E$5000,Transactions!$N$2:$N$5000,A94,Transactions!$B$2:$B$5000,"&gt;="&amp;Settings!$B$4,Transactions!$B$2:$B$5000,"&lt;="&amp;EOMONTH(Settings!$B$4,0))-SUMIFS(Transactions!$E$2:$E$5000,Transactions!$N$2:$N$5000,A94,Transactions!$D$2:$D$5000,"Refund",Transactions!$B$2:$B$5000,"&gt;="&amp;Settings!$B$4,Transactions!$B$2:$B$5000,"&lt;="&amp;EOMONTH(Settings!$B$4,0)))</f>
        <v/>
      </c>
      <c r="M94" s="13" t="str">
        <f aca="false">IF(A94="","",IF(I94="Active",MAX(0,D94-L94),0))</f>
        <v/>
      </c>
      <c r="N94" s="2"/>
    </row>
    <row r="95" customFormat="false" ht="15" hidden="false" customHeight="false" outlineLevel="0" collapsed="false">
      <c r="A95" s="2"/>
      <c r="B95" s="2"/>
      <c r="C95" s="2"/>
      <c r="D95" s="13"/>
      <c r="E95" s="2"/>
      <c r="F95" s="2"/>
      <c r="G95" s="11"/>
      <c r="H95" s="11"/>
      <c r="I95" s="2"/>
      <c r="J95" s="2" t="str">
        <f aca="true">IF(A95="","",IF(I95&lt;&gt;"Active","Inactive",IF(L95&gt;=D95,"Paid",IF(L95&gt;0,"Partial",IF(DATE(YEAR(Settings!$B$4),MONTH(Settings!$B$4),MIN(E95,DAY(EOMONTH(Settings!$B$4,0))))&lt;TODAY(),"Overdue","Expected")))))</f>
        <v/>
      </c>
      <c r="K95" s="2"/>
      <c r="L95" s="13" t="str">
        <f aca="false">IF(A95="","",SUMIFS(Transactions!$E$2:$E$5000,Transactions!$N$2:$N$5000,A95,Transactions!$B$2:$B$5000,"&gt;="&amp;Settings!$B$4,Transactions!$B$2:$B$5000,"&lt;="&amp;EOMONTH(Settings!$B$4,0))-SUMIFS(Transactions!$E$2:$E$5000,Transactions!$N$2:$N$5000,A95,Transactions!$D$2:$D$5000,"Refund",Transactions!$B$2:$B$5000,"&gt;="&amp;Settings!$B$4,Transactions!$B$2:$B$5000,"&lt;="&amp;EOMONTH(Settings!$B$4,0)))</f>
        <v/>
      </c>
      <c r="M95" s="13" t="str">
        <f aca="false">IF(A95="","",IF(I95="Active",MAX(0,D95-L95),0))</f>
        <v/>
      </c>
      <c r="N95" s="2"/>
    </row>
    <row r="96" customFormat="false" ht="15" hidden="false" customHeight="false" outlineLevel="0" collapsed="false">
      <c r="A96" s="2"/>
      <c r="B96" s="2"/>
      <c r="C96" s="2"/>
      <c r="D96" s="13"/>
      <c r="E96" s="2"/>
      <c r="F96" s="2"/>
      <c r="G96" s="11"/>
      <c r="H96" s="11"/>
      <c r="I96" s="2"/>
      <c r="J96" s="2" t="str">
        <f aca="true">IF(A96="","",IF(I96&lt;&gt;"Active","Inactive",IF(L96&gt;=D96,"Paid",IF(L96&gt;0,"Partial",IF(DATE(YEAR(Settings!$B$4),MONTH(Settings!$B$4),MIN(E96,DAY(EOMONTH(Settings!$B$4,0))))&lt;TODAY(),"Overdue","Expected")))))</f>
        <v/>
      </c>
      <c r="K96" s="2"/>
      <c r="L96" s="13" t="str">
        <f aca="false">IF(A96="","",SUMIFS(Transactions!$E$2:$E$5000,Transactions!$N$2:$N$5000,A96,Transactions!$B$2:$B$5000,"&gt;="&amp;Settings!$B$4,Transactions!$B$2:$B$5000,"&lt;="&amp;EOMONTH(Settings!$B$4,0))-SUMIFS(Transactions!$E$2:$E$5000,Transactions!$N$2:$N$5000,A96,Transactions!$D$2:$D$5000,"Refund",Transactions!$B$2:$B$5000,"&gt;="&amp;Settings!$B$4,Transactions!$B$2:$B$5000,"&lt;="&amp;EOMONTH(Settings!$B$4,0)))</f>
        <v/>
      </c>
      <c r="M96" s="13" t="str">
        <f aca="false">IF(A96="","",IF(I96="Active",MAX(0,D96-L96),0))</f>
        <v/>
      </c>
      <c r="N96" s="2"/>
    </row>
    <row r="97" customFormat="false" ht="15" hidden="false" customHeight="false" outlineLevel="0" collapsed="false">
      <c r="A97" s="2"/>
      <c r="B97" s="2"/>
      <c r="C97" s="2"/>
      <c r="D97" s="13"/>
      <c r="E97" s="2"/>
      <c r="F97" s="2"/>
      <c r="G97" s="11"/>
      <c r="H97" s="11"/>
      <c r="I97" s="2"/>
      <c r="J97" s="2" t="str">
        <f aca="true">IF(A97="","",IF(I97&lt;&gt;"Active","Inactive",IF(L97&gt;=D97,"Paid",IF(L97&gt;0,"Partial",IF(DATE(YEAR(Settings!$B$4),MONTH(Settings!$B$4),MIN(E97,DAY(EOMONTH(Settings!$B$4,0))))&lt;TODAY(),"Overdue","Expected")))))</f>
        <v/>
      </c>
      <c r="K97" s="2"/>
      <c r="L97" s="13" t="str">
        <f aca="false">IF(A97="","",SUMIFS(Transactions!$E$2:$E$5000,Transactions!$N$2:$N$5000,A97,Transactions!$B$2:$B$5000,"&gt;="&amp;Settings!$B$4,Transactions!$B$2:$B$5000,"&lt;="&amp;EOMONTH(Settings!$B$4,0))-SUMIFS(Transactions!$E$2:$E$5000,Transactions!$N$2:$N$5000,A97,Transactions!$D$2:$D$5000,"Refund",Transactions!$B$2:$B$5000,"&gt;="&amp;Settings!$B$4,Transactions!$B$2:$B$5000,"&lt;="&amp;EOMONTH(Settings!$B$4,0)))</f>
        <v/>
      </c>
      <c r="M97" s="13" t="str">
        <f aca="false">IF(A97="","",IF(I97="Active",MAX(0,D97-L97),0))</f>
        <v/>
      </c>
      <c r="N97" s="2"/>
    </row>
    <row r="98" customFormat="false" ht="15" hidden="false" customHeight="false" outlineLevel="0" collapsed="false">
      <c r="A98" s="2"/>
      <c r="B98" s="2"/>
      <c r="C98" s="2"/>
      <c r="D98" s="13"/>
      <c r="E98" s="2"/>
      <c r="F98" s="2"/>
      <c r="G98" s="11"/>
      <c r="H98" s="11"/>
      <c r="I98" s="2"/>
      <c r="J98" s="2" t="str">
        <f aca="true">IF(A98="","",IF(I98&lt;&gt;"Active","Inactive",IF(L98&gt;=D98,"Paid",IF(L98&gt;0,"Partial",IF(DATE(YEAR(Settings!$B$4),MONTH(Settings!$B$4),MIN(E98,DAY(EOMONTH(Settings!$B$4,0))))&lt;TODAY(),"Overdue","Expected")))))</f>
        <v/>
      </c>
      <c r="K98" s="2"/>
      <c r="L98" s="13" t="str">
        <f aca="false">IF(A98="","",SUMIFS(Transactions!$E$2:$E$5000,Transactions!$N$2:$N$5000,A98,Transactions!$B$2:$B$5000,"&gt;="&amp;Settings!$B$4,Transactions!$B$2:$B$5000,"&lt;="&amp;EOMONTH(Settings!$B$4,0))-SUMIFS(Transactions!$E$2:$E$5000,Transactions!$N$2:$N$5000,A98,Transactions!$D$2:$D$5000,"Refund",Transactions!$B$2:$B$5000,"&gt;="&amp;Settings!$B$4,Transactions!$B$2:$B$5000,"&lt;="&amp;EOMONTH(Settings!$B$4,0)))</f>
        <v/>
      </c>
      <c r="M98" s="13" t="str">
        <f aca="false">IF(A98="","",IF(I98="Active",MAX(0,D98-L98),0))</f>
        <v/>
      </c>
      <c r="N98" s="2"/>
    </row>
    <row r="99" customFormat="false" ht="15" hidden="false" customHeight="false" outlineLevel="0" collapsed="false">
      <c r="A99" s="2"/>
      <c r="B99" s="2"/>
      <c r="C99" s="2"/>
      <c r="D99" s="13"/>
      <c r="E99" s="2"/>
      <c r="F99" s="2"/>
      <c r="G99" s="11"/>
      <c r="H99" s="11"/>
      <c r="I99" s="2"/>
      <c r="J99" s="2" t="str">
        <f aca="true">IF(A99="","",IF(I99&lt;&gt;"Active","Inactive",IF(L99&gt;=D99,"Paid",IF(L99&gt;0,"Partial",IF(DATE(YEAR(Settings!$B$4),MONTH(Settings!$B$4),MIN(E99,DAY(EOMONTH(Settings!$B$4,0))))&lt;TODAY(),"Overdue","Expected")))))</f>
        <v/>
      </c>
      <c r="K99" s="2"/>
      <c r="L99" s="13" t="str">
        <f aca="false">IF(A99="","",SUMIFS(Transactions!$E$2:$E$5000,Transactions!$N$2:$N$5000,A99,Transactions!$B$2:$B$5000,"&gt;="&amp;Settings!$B$4,Transactions!$B$2:$B$5000,"&lt;="&amp;EOMONTH(Settings!$B$4,0))-SUMIFS(Transactions!$E$2:$E$5000,Transactions!$N$2:$N$5000,A99,Transactions!$D$2:$D$5000,"Refund",Transactions!$B$2:$B$5000,"&gt;="&amp;Settings!$B$4,Transactions!$B$2:$B$5000,"&lt;="&amp;EOMONTH(Settings!$B$4,0)))</f>
        <v/>
      </c>
      <c r="M99" s="13" t="str">
        <f aca="false">IF(A99="","",IF(I99="Active",MAX(0,D99-L99),0))</f>
        <v/>
      </c>
      <c r="N99" s="2"/>
    </row>
    <row r="100" customFormat="false" ht="15" hidden="false" customHeight="false" outlineLevel="0" collapsed="false">
      <c r="A100" s="2"/>
      <c r="B100" s="2"/>
      <c r="C100" s="2"/>
      <c r="D100" s="13"/>
      <c r="E100" s="2"/>
      <c r="F100" s="2"/>
      <c r="G100" s="11"/>
      <c r="H100" s="11"/>
      <c r="I100" s="2"/>
      <c r="J100" s="2" t="str">
        <f aca="true">IF(A100="","",IF(I100&lt;&gt;"Active","Inactive",IF(L100&gt;=D100,"Paid",IF(L100&gt;0,"Partial",IF(DATE(YEAR(Settings!$B$4),MONTH(Settings!$B$4),MIN(E100,DAY(EOMONTH(Settings!$B$4,0))))&lt;TODAY(),"Overdue","Expected")))))</f>
        <v/>
      </c>
      <c r="K100" s="2"/>
      <c r="L100" s="13" t="str">
        <f aca="false">IF(A100="","",SUMIFS(Transactions!$E$2:$E$5000,Transactions!$N$2:$N$5000,A100,Transactions!$B$2:$B$5000,"&gt;="&amp;Settings!$B$4,Transactions!$B$2:$B$5000,"&lt;="&amp;EOMONTH(Settings!$B$4,0))-SUMIFS(Transactions!$E$2:$E$5000,Transactions!$N$2:$N$5000,A100,Transactions!$D$2:$D$5000,"Refund",Transactions!$B$2:$B$5000,"&gt;="&amp;Settings!$B$4,Transactions!$B$2:$B$5000,"&lt;="&amp;EOMONTH(Settings!$B$4,0)))</f>
        <v/>
      </c>
      <c r="M100" s="13" t="str">
        <f aca="false">IF(A100="","",IF(I100="Active",MAX(0,D100-L100),0))</f>
        <v/>
      </c>
      <c r="N100" s="2"/>
    </row>
    <row r="101" customFormat="false" ht="15" hidden="false" customHeight="false" outlineLevel="0" collapsed="false">
      <c r="A101" s="2"/>
      <c r="B101" s="2"/>
      <c r="C101" s="2"/>
      <c r="D101" s="13"/>
      <c r="E101" s="2"/>
      <c r="F101" s="2"/>
      <c r="G101" s="11"/>
      <c r="H101" s="11"/>
      <c r="I101" s="2"/>
      <c r="J101" s="2" t="str">
        <f aca="true">IF(A101="","",IF(I101&lt;&gt;"Active","Inactive",IF(L101&gt;=D101,"Paid",IF(L101&gt;0,"Partial",IF(DATE(YEAR(Settings!$B$4),MONTH(Settings!$B$4),MIN(E101,DAY(EOMONTH(Settings!$B$4,0))))&lt;TODAY(),"Overdue","Expected")))))</f>
        <v/>
      </c>
      <c r="K101" s="2"/>
      <c r="L101" s="13" t="str">
        <f aca="false">IF(A101="","",SUMIFS(Transactions!$E$2:$E$5000,Transactions!$N$2:$N$5000,A101,Transactions!$B$2:$B$5000,"&gt;="&amp;Settings!$B$4,Transactions!$B$2:$B$5000,"&lt;="&amp;EOMONTH(Settings!$B$4,0))-SUMIFS(Transactions!$E$2:$E$5000,Transactions!$N$2:$N$5000,A101,Transactions!$D$2:$D$5000,"Refund",Transactions!$B$2:$B$5000,"&gt;="&amp;Settings!$B$4,Transactions!$B$2:$B$5000,"&lt;="&amp;EOMONTH(Settings!$B$4,0)))</f>
        <v/>
      </c>
      <c r="M101" s="13" t="str">
        <f aca="false">IF(A101="","",IF(I101="Active",MAX(0,D101-L101),0))</f>
        <v/>
      </c>
      <c r="N101" s="2"/>
    </row>
  </sheetData>
  <dataValidations count="3">
    <dataValidation allowBlank="true" error="Pick a value from the dropdown list." errorStyle="stop" errorTitle="Invalid value" operator="between" showDropDown="false" showErrorMessage="true" showInputMessage="false" sqref="F2:F101" type="list">
      <formula1>Lists!$O$2:$O$4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I2:I101" type="list">
      <formula1>Lists!$N$2:$N$4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C2:C101" type="list">
      <formula1>Lists!$F$2:$F$22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36"/>
  </cols>
  <sheetData>
    <row r="1" customFormat="false" ht="30" hidden="false" customHeight="true" outlineLevel="0" collapsed="false">
      <c r="A1" s="6" t="s">
        <v>138</v>
      </c>
      <c r="B1" s="6" t="s">
        <v>228</v>
      </c>
      <c r="C1" s="6" t="s">
        <v>229</v>
      </c>
      <c r="D1" s="6" t="s">
        <v>230</v>
      </c>
      <c r="E1" s="6" t="s">
        <v>231</v>
      </c>
      <c r="F1" s="6" t="s">
        <v>232</v>
      </c>
      <c r="G1" s="6" t="s">
        <v>233</v>
      </c>
      <c r="H1" s="6" t="s">
        <v>148</v>
      </c>
    </row>
    <row r="2" customFormat="false" ht="15" hidden="false" customHeight="false" outlineLevel="0" collapsed="false">
      <c r="A2" s="2" t="s">
        <v>160</v>
      </c>
      <c r="B2" s="9" t="n">
        <v>8000</v>
      </c>
      <c r="C2" s="13" t="n">
        <f aca="false">SUMIFS(Transactions!$E$2:$E$5000,Transactions!$D$2:$D$5000,"Expense",Transactions!$G$2:$G$5000,A2,Transactions!$B$2:$B$5000,"&gt;="&amp;Settings!$B$4,Transactions!$B$2:$B$5000,"&lt;="&amp;EOMONTH(Settings!$B$4,0))-SUMIFS(Transactions!$E$2:$E$5000,Transactions!$D$2:$D$5000,"Refund",Transactions!$G$2:$G$5000,A2,Transactions!$B$2:$B$5000,"&gt;="&amp;Settings!$B$4,Transactions!$B$2:$B$5000,"&lt;="&amp;EOMONTH(Settings!$B$4,0))</f>
        <v>8000</v>
      </c>
      <c r="D2" s="13" t="n">
        <f aca="false">B2-C2</f>
        <v>0</v>
      </c>
      <c r="E2" s="16" t="n">
        <f aca="false">IF(B2=0,0,C2/B2)</f>
        <v>1</v>
      </c>
      <c r="F2" s="13" t="n">
        <f aca="false">IF(Summary!$B$6=0,0,C2/Summary!$B$6*Summary!$B$5)</f>
        <v>20666.6666666667</v>
      </c>
      <c r="G2" s="2" t="str">
        <f aca="false">IF(B2=0,IF(C2&gt;0,"No budget","-"),IF(E2&gt;1,"Over",IF(E2&gt;=Settings!$B$9,"Warning","OK")))</f>
        <v>Warning</v>
      </c>
      <c r="H2" s="2" t="s">
        <v>234</v>
      </c>
    </row>
    <row r="3" customFormat="false" ht="15" hidden="false" customHeight="false" outlineLevel="0" collapsed="false">
      <c r="A3" s="2" t="s">
        <v>185</v>
      </c>
      <c r="B3" s="9" t="n">
        <v>1200</v>
      </c>
      <c r="C3" s="13" t="n">
        <f aca="false">SUMIFS(Transactions!$E$2:$E$5000,Transactions!$D$2:$D$5000,"Expense",Transactions!$G$2:$G$5000,A3,Transactions!$B$2:$B$5000,"&gt;="&amp;Settings!$B$4,Transactions!$B$2:$B$5000,"&lt;="&amp;EOMONTH(Settings!$B$4,0))-SUMIFS(Transactions!$E$2:$E$5000,Transactions!$D$2:$D$5000,"Refund",Transactions!$G$2:$G$5000,A3,Transactions!$B$2:$B$5000,"&gt;="&amp;Settings!$B$4,Transactions!$B$2:$B$5000,"&lt;="&amp;EOMONTH(Settings!$B$4,0))</f>
        <v>450</v>
      </c>
      <c r="D3" s="13" t="n">
        <f aca="false">B3-C3</f>
        <v>750</v>
      </c>
      <c r="E3" s="16" t="n">
        <f aca="false">IF(B3=0,0,C3/B3)</f>
        <v>0.375</v>
      </c>
      <c r="F3" s="13" t="n">
        <f aca="false">IF(Summary!$B$6=0,0,C3/Summary!$B$6*Summary!$B$5)</f>
        <v>1162.5</v>
      </c>
      <c r="G3" s="2" t="str">
        <f aca="false">IF(B3=0,IF(C3&gt;0,"No budget","-"),IF(E3&gt;1,"Over",IF(E3&gt;=Settings!$B$9,"Warning","OK")))</f>
        <v>OK</v>
      </c>
      <c r="H3" s="2" t="s">
        <v>235</v>
      </c>
    </row>
    <row r="4" customFormat="false" ht="15" hidden="false" customHeight="false" outlineLevel="0" collapsed="false">
      <c r="A4" s="2" t="s">
        <v>173</v>
      </c>
      <c r="B4" s="9" t="n">
        <v>2500</v>
      </c>
      <c r="C4" s="13" t="n">
        <f aca="false">SUMIFS(Transactions!$E$2:$E$5000,Transactions!$D$2:$D$5000,"Expense",Transactions!$G$2:$G$5000,A4,Transactions!$B$2:$B$5000,"&gt;="&amp;Settings!$B$4,Transactions!$B$2:$B$5000,"&lt;="&amp;EOMONTH(Settings!$B$4,0))-SUMIFS(Transactions!$E$2:$E$5000,Transactions!$D$2:$D$5000,"Refund",Transactions!$G$2:$G$5000,A4,Transactions!$B$2:$B$5000,"&gt;="&amp;Settings!$B$4,Transactions!$B$2:$B$5000,"&lt;="&amp;EOMONTH(Settings!$B$4,0))</f>
        <v>350</v>
      </c>
      <c r="D4" s="13" t="n">
        <f aca="false">B4-C4</f>
        <v>2150</v>
      </c>
      <c r="E4" s="16" t="n">
        <f aca="false">IF(B4=0,0,C4/B4)</f>
        <v>0.14</v>
      </c>
      <c r="F4" s="13" t="n">
        <f aca="false">IF(Summary!$B$6=0,0,C4/Summary!$B$6*Summary!$B$5)</f>
        <v>904.166666666667</v>
      </c>
      <c r="G4" s="2" t="str">
        <f aca="false">IF(B4=0,IF(C4&gt;0,"No budget","-"),IF(E4&gt;1,"Over",IF(E4&gt;=Settings!$B$9,"Warning","OK")))</f>
        <v>OK</v>
      </c>
      <c r="H4" s="2" t="s">
        <v>236</v>
      </c>
    </row>
    <row r="5" customFormat="false" ht="15" hidden="false" customHeight="false" outlineLevel="0" collapsed="false">
      <c r="A5" s="2" t="s">
        <v>179</v>
      </c>
      <c r="B5" s="9" t="n">
        <v>2500</v>
      </c>
      <c r="C5" s="13" t="n">
        <f aca="false">SUMIFS(Transactions!$E$2:$E$5000,Transactions!$D$2:$D$5000,"Expense",Transactions!$G$2:$G$5000,A5,Transactions!$B$2:$B$5000,"&gt;="&amp;Settings!$B$4,Transactions!$B$2:$B$5000,"&lt;="&amp;EOMONTH(Settings!$B$4,0))-SUMIFS(Transactions!$E$2:$E$5000,Transactions!$D$2:$D$5000,"Refund",Transactions!$G$2:$G$5000,A5,Transactions!$B$2:$B$5000,"&gt;="&amp;Settings!$B$4,Transactions!$B$2:$B$5000,"&lt;="&amp;EOMONTH(Settings!$B$4,0))</f>
        <v>120</v>
      </c>
      <c r="D5" s="13" t="n">
        <f aca="false">B5-C5</f>
        <v>2380</v>
      </c>
      <c r="E5" s="16" t="n">
        <f aca="false">IF(B5=0,0,C5/B5)</f>
        <v>0.048</v>
      </c>
      <c r="F5" s="13" t="n">
        <f aca="false">IF(Summary!$B$6=0,0,C5/Summary!$B$6*Summary!$B$5)</f>
        <v>310</v>
      </c>
      <c r="G5" s="2" t="str">
        <f aca="false">IF(B5=0,IF(C5&gt;0,"No budget","-"),IF(E5&gt;1,"Over",IF(E5&gt;=Settings!$B$9,"Warning","OK")))</f>
        <v>OK</v>
      </c>
      <c r="H5" s="2"/>
    </row>
    <row r="6" customFormat="false" ht="15" hidden="false" customHeight="false" outlineLevel="0" collapsed="false">
      <c r="A6" s="2" t="s">
        <v>166</v>
      </c>
      <c r="B6" s="9" t="n">
        <v>5000</v>
      </c>
      <c r="C6" s="13" t="n">
        <f aca="false">SUMIFS(Transactions!$E$2:$E$5000,Transactions!$D$2:$D$5000,"Expense",Transactions!$G$2:$G$5000,A6,Transactions!$B$2:$B$5000,"&gt;="&amp;Settings!$B$4,Transactions!$B$2:$B$5000,"&lt;="&amp;EOMONTH(Settings!$B$4,0))-SUMIFS(Transactions!$E$2:$E$5000,Transactions!$D$2:$D$5000,"Refund",Transactions!$G$2:$G$5000,A6,Transactions!$B$2:$B$5000,"&gt;="&amp;Settings!$B$4,Transactions!$B$2:$B$5000,"&lt;="&amp;EOMONTH(Settings!$B$4,0))</f>
        <v>600</v>
      </c>
      <c r="D6" s="13" t="n">
        <f aca="false">B6-C6</f>
        <v>4400</v>
      </c>
      <c r="E6" s="16" t="n">
        <f aca="false">IF(B6=0,0,C6/B6)</f>
        <v>0.12</v>
      </c>
      <c r="F6" s="13" t="n">
        <f aca="false">IF(Summary!$B$6=0,0,C6/Summary!$B$6*Summary!$B$5)</f>
        <v>1550</v>
      </c>
      <c r="G6" s="2" t="str">
        <f aca="false">IF(B6=0,IF(C6&gt;0,"No budget","-"),IF(E6&gt;1,"Over",IF(E6&gt;=Settings!$B$9,"Warning","OK")))</f>
        <v>OK</v>
      </c>
      <c r="H6" s="2"/>
    </row>
    <row r="7" customFormat="false" ht="15" hidden="false" customHeight="false" outlineLevel="0" collapsed="false">
      <c r="A7" s="2" t="s">
        <v>237</v>
      </c>
      <c r="B7" s="9" t="n">
        <v>1000</v>
      </c>
      <c r="C7" s="13" t="n">
        <f aca="false">SUMIFS(Transactions!$E$2:$E$5000,Transactions!$D$2:$D$5000,"Expense",Transactions!$G$2:$G$5000,A7,Transactions!$B$2:$B$5000,"&gt;="&amp;Settings!$B$4,Transactions!$B$2:$B$5000,"&lt;="&amp;EOMONTH(Settings!$B$4,0))-SUMIFS(Transactions!$E$2:$E$5000,Transactions!$D$2:$D$5000,"Refund",Transactions!$G$2:$G$5000,A7,Transactions!$B$2:$B$5000,"&gt;="&amp;Settings!$B$4,Transactions!$B$2:$B$5000,"&lt;="&amp;EOMONTH(Settings!$B$4,0))</f>
        <v>0</v>
      </c>
      <c r="D7" s="13" t="n">
        <f aca="false">B7-C7</f>
        <v>1000</v>
      </c>
      <c r="E7" s="16" t="n">
        <f aca="false">IF(B7=0,0,C7/B7)</f>
        <v>0</v>
      </c>
      <c r="F7" s="13" t="n">
        <f aca="false">IF(Summary!$B$6=0,0,C7/Summary!$B$6*Summary!$B$5)</f>
        <v>0</v>
      </c>
      <c r="G7" s="2" t="str">
        <f aca="false">IF(B7=0,IF(C7&gt;0,"No budget","-"),IF(E7&gt;1,"Over",IF(E7&gt;=Settings!$B$9,"Warning","OK")))</f>
        <v>OK</v>
      </c>
      <c r="H7" s="2"/>
    </row>
    <row r="8" customFormat="false" ht="15" hidden="false" customHeight="false" outlineLevel="0" collapsed="false">
      <c r="A8" s="2" t="s">
        <v>238</v>
      </c>
      <c r="B8" s="9" t="n">
        <v>500</v>
      </c>
      <c r="C8" s="13" t="n">
        <f aca="false">SUMIFS(Transactions!$E$2:$E$5000,Transactions!$D$2:$D$5000,"Expense",Transactions!$G$2:$G$5000,A8,Transactions!$B$2:$B$5000,"&gt;="&amp;Settings!$B$4,Transactions!$B$2:$B$5000,"&lt;="&amp;EOMONTH(Settings!$B$4,0))-SUMIFS(Transactions!$E$2:$E$5000,Transactions!$D$2:$D$5000,"Refund",Transactions!$G$2:$G$5000,A8,Transactions!$B$2:$B$5000,"&gt;="&amp;Settings!$B$4,Transactions!$B$2:$B$5000,"&lt;="&amp;EOMONTH(Settings!$B$4,0))</f>
        <v>0</v>
      </c>
      <c r="D8" s="13" t="n">
        <f aca="false">B8-C8</f>
        <v>500</v>
      </c>
      <c r="E8" s="16" t="n">
        <f aca="false">IF(B8=0,0,C8/B8)</f>
        <v>0</v>
      </c>
      <c r="F8" s="13" t="n">
        <f aca="false">IF(Summary!$B$6=0,0,C8/Summary!$B$6*Summary!$B$5)</f>
        <v>0</v>
      </c>
      <c r="G8" s="2" t="str">
        <f aca="false">IF(B8=0,IF(C8&gt;0,"No budget","-"),IF(E8&gt;1,"Over",IF(E8&gt;=Settings!$B$9,"Warning","OK")))</f>
        <v>OK</v>
      </c>
      <c r="H8" s="2"/>
    </row>
    <row r="9" customFormat="false" ht="15" hidden="false" customHeight="false" outlineLevel="0" collapsed="false">
      <c r="A9" s="2" t="s">
        <v>199</v>
      </c>
      <c r="B9" s="9" t="n">
        <v>1500</v>
      </c>
      <c r="C9" s="13" t="n">
        <f aca="false">SUMIFS(Transactions!$E$2:$E$5000,Transactions!$D$2:$D$5000,"Expense",Transactions!$G$2:$G$5000,A9,Transactions!$B$2:$B$5000,"&gt;="&amp;Settings!$B$4,Transactions!$B$2:$B$5000,"&lt;="&amp;EOMONTH(Settings!$B$4,0))-SUMIFS(Transactions!$E$2:$E$5000,Transactions!$D$2:$D$5000,"Refund",Transactions!$G$2:$G$5000,A9,Transactions!$B$2:$B$5000,"&gt;="&amp;Settings!$B$4,Transactions!$B$2:$B$5000,"&lt;="&amp;EOMONTH(Settings!$B$4,0))</f>
        <v>600</v>
      </c>
      <c r="D9" s="13" t="n">
        <f aca="false">B9-C9</f>
        <v>900</v>
      </c>
      <c r="E9" s="16" t="n">
        <f aca="false">IF(B9=0,0,C9/B9)</f>
        <v>0.4</v>
      </c>
      <c r="F9" s="13" t="n">
        <f aca="false">IF(Summary!$B$6=0,0,C9/Summary!$B$6*Summary!$B$5)</f>
        <v>1550</v>
      </c>
      <c r="G9" s="2" t="str">
        <f aca="false">IF(B9=0,IF(C9&gt;0,"No budget","-"),IF(E9&gt;1,"Over",IF(E9&gt;=Settings!$B$9,"Warning","OK")))</f>
        <v>OK</v>
      </c>
      <c r="H9" s="2"/>
    </row>
    <row r="10" customFormat="false" ht="15" hidden="false" customHeight="false" outlineLevel="0" collapsed="false">
      <c r="A10" s="2" t="s">
        <v>239</v>
      </c>
      <c r="B10" s="9" t="n">
        <v>1000</v>
      </c>
      <c r="C10" s="13" t="n">
        <f aca="false">SUMIFS(Transactions!$E$2:$E$5000,Transactions!$D$2:$D$5000,"Expense",Transactions!$G$2:$G$5000,A10,Transactions!$B$2:$B$5000,"&gt;="&amp;Settings!$B$4,Transactions!$B$2:$B$5000,"&lt;="&amp;EOMONTH(Settings!$B$4,0))-SUMIFS(Transactions!$E$2:$E$5000,Transactions!$D$2:$D$5000,"Refund",Transactions!$G$2:$G$5000,A10,Transactions!$B$2:$B$5000,"&gt;="&amp;Settings!$B$4,Transactions!$B$2:$B$5000,"&lt;="&amp;EOMONTH(Settings!$B$4,0))</f>
        <v>0</v>
      </c>
      <c r="D10" s="13" t="n">
        <f aca="false">B10-C10</f>
        <v>1000</v>
      </c>
      <c r="E10" s="16" t="n">
        <f aca="false">IF(B10=0,0,C10/B10)</f>
        <v>0</v>
      </c>
      <c r="F10" s="13" t="n">
        <f aca="false">IF(Summary!$B$6=0,0,C10/Summary!$B$6*Summary!$B$5)</f>
        <v>0</v>
      </c>
      <c r="G10" s="2" t="str">
        <f aca="false">IF(B10=0,IF(C10&gt;0,"No budget","-"),IF(E10&gt;1,"Over",IF(E10&gt;=Settings!$B$9,"Warning","OK")))</f>
        <v>OK</v>
      </c>
      <c r="H10" s="2"/>
    </row>
    <row r="11" customFormat="false" ht="15" hidden="false" customHeight="false" outlineLevel="0" collapsed="false">
      <c r="A11" s="2" t="s">
        <v>240</v>
      </c>
      <c r="B11" s="9" t="n">
        <v>500</v>
      </c>
      <c r="C11" s="13" t="n">
        <f aca="false">SUMIFS(Transactions!$E$2:$E$5000,Transactions!$D$2:$D$5000,"Expense",Transactions!$G$2:$G$5000,A11,Transactions!$B$2:$B$5000,"&gt;="&amp;Settings!$B$4,Transactions!$B$2:$B$5000,"&lt;="&amp;EOMONTH(Settings!$B$4,0))-SUMIFS(Transactions!$E$2:$E$5000,Transactions!$D$2:$D$5000,"Refund",Transactions!$G$2:$G$5000,A11,Transactions!$B$2:$B$5000,"&gt;="&amp;Settings!$B$4,Transactions!$B$2:$B$5000,"&lt;="&amp;EOMONTH(Settings!$B$4,0))</f>
        <v>0</v>
      </c>
      <c r="D11" s="13" t="n">
        <f aca="false">B11-C11</f>
        <v>500</v>
      </c>
      <c r="E11" s="16" t="n">
        <f aca="false">IF(B11=0,0,C11/B11)</f>
        <v>0</v>
      </c>
      <c r="F11" s="13" t="n">
        <f aca="false">IF(Summary!$B$6=0,0,C11/Summary!$B$6*Summary!$B$5)</f>
        <v>0</v>
      </c>
      <c r="G11" s="2" t="str">
        <f aca="false">IF(B11=0,IF(C11&gt;0,"No budget","-"),IF(E11&gt;1,"Over",IF(E11&gt;=Settings!$B$9,"Warning","OK")))</f>
        <v>OK</v>
      </c>
      <c r="H11" s="2"/>
    </row>
    <row r="12" customFormat="false" ht="15" hidden="false" customHeight="false" outlineLevel="0" collapsed="false">
      <c r="A12" s="2" t="s">
        <v>241</v>
      </c>
      <c r="B12" s="9" t="n">
        <v>1000</v>
      </c>
      <c r="C12" s="13" t="n">
        <f aca="false">SUMIFS(Transactions!$E$2:$E$5000,Transactions!$D$2:$D$5000,"Expense",Transactions!$G$2:$G$5000,A12,Transactions!$B$2:$B$5000,"&gt;="&amp;Settings!$B$4,Transactions!$B$2:$B$5000,"&lt;="&amp;EOMONTH(Settings!$B$4,0))-SUMIFS(Transactions!$E$2:$E$5000,Transactions!$D$2:$D$5000,"Refund",Transactions!$G$2:$G$5000,A12,Transactions!$B$2:$B$5000,"&gt;="&amp;Settings!$B$4,Transactions!$B$2:$B$5000,"&lt;="&amp;EOMONTH(Settings!$B$4,0))</f>
        <v>0</v>
      </c>
      <c r="D12" s="13" t="n">
        <f aca="false">B12-C12</f>
        <v>1000</v>
      </c>
      <c r="E12" s="16" t="n">
        <f aca="false">IF(B12=0,0,C12/B12)</f>
        <v>0</v>
      </c>
      <c r="F12" s="13" t="n">
        <f aca="false">IF(Summary!$B$6=0,0,C12/Summary!$B$6*Summary!$B$5)</f>
        <v>0</v>
      </c>
      <c r="G12" s="2" t="str">
        <f aca="false">IF(B12=0,IF(C12&gt;0,"No budget","-"),IF(E12&gt;1,"Over",IF(E12&gt;=Settings!$B$9,"Warning","OK")))</f>
        <v>OK</v>
      </c>
      <c r="H12" s="2"/>
    </row>
    <row r="13" customFormat="false" ht="15" hidden="false" customHeight="false" outlineLevel="0" collapsed="false">
      <c r="A13" s="2" t="s">
        <v>242</v>
      </c>
      <c r="B13" s="9" t="n">
        <v>500</v>
      </c>
      <c r="C13" s="13" t="n">
        <f aca="false">SUMIFS(Transactions!$E$2:$E$5000,Transactions!$D$2:$D$5000,"Expense",Transactions!$G$2:$G$5000,A13,Transactions!$B$2:$B$5000,"&gt;="&amp;Settings!$B$4,Transactions!$B$2:$B$5000,"&lt;="&amp;EOMONTH(Settings!$B$4,0))-SUMIFS(Transactions!$E$2:$E$5000,Transactions!$D$2:$D$5000,"Refund",Transactions!$G$2:$G$5000,A13,Transactions!$B$2:$B$5000,"&gt;="&amp;Settings!$B$4,Transactions!$B$2:$B$5000,"&lt;="&amp;EOMONTH(Settings!$B$4,0))</f>
        <v>0</v>
      </c>
      <c r="D13" s="13" t="n">
        <f aca="false">B13-C13</f>
        <v>500</v>
      </c>
      <c r="E13" s="16" t="n">
        <f aca="false">IF(B13=0,0,C13/B13)</f>
        <v>0</v>
      </c>
      <c r="F13" s="13" t="n">
        <f aca="false">IF(Summary!$B$6=0,0,C13/Summary!$B$6*Summary!$B$5)</f>
        <v>0</v>
      </c>
      <c r="G13" s="2" t="str">
        <f aca="false">IF(B13=0,IF(C13&gt;0,"No budget","-"),IF(E13&gt;1,"Over",IF(E13&gt;=Settings!$B$9,"Warning","OK")))</f>
        <v>OK</v>
      </c>
      <c r="H13" s="2"/>
    </row>
    <row r="14" customFormat="false" ht="15" hidden="false" customHeight="false" outlineLevel="0" collapsed="false">
      <c r="A14" s="2" t="s">
        <v>227</v>
      </c>
      <c r="B14" s="9" t="n">
        <v>3500</v>
      </c>
      <c r="C14" s="13" t="n">
        <f aca="false">SUMIFS(Transactions!$E$2:$E$5000,Transactions!$D$2:$D$5000,"Expense",Transactions!$G$2:$G$5000,A14,Transactions!$B$2:$B$5000,"&gt;="&amp;Settings!$B$4,Transactions!$B$2:$B$5000,"&lt;="&amp;EOMONTH(Settings!$B$4,0))-SUMIFS(Transactions!$E$2:$E$5000,Transactions!$D$2:$D$5000,"Refund",Transactions!$G$2:$G$5000,A14,Transactions!$B$2:$B$5000,"&gt;="&amp;Settings!$B$4,Transactions!$B$2:$B$5000,"&lt;="&amp;EOMONTH(Settings!$B$4,0))</f>
        <v>0</v>
      </c>
      <c r="D14" s="13" t="n">
        <f aca="false">B14-C14</f>
        <v>3500</v>
      </c>
      <c r="E14" s="16" t="n">
        <f aca="false">IF(B14=0,0,C14/B14)</f>
        <v>0</v>
      </c>
      <c r="F14" s="13" t="n">
        <f aca="false">IF(Summary!$B$6=0,0,C14/Summary!$B$6*Summary!$B$5)</f>
        <v>0</v>
      </c>
      <c r="G14" s="2" t="str">
        <f aca="false">IF(B14=0,IF(C14&gt;0,"No budget","-"),IF(E14&gt;1,"Over",IF(E14&gt;=Settings!$B$9,"Warning","OK")))</f>
        <v>OK</v>
      </c>
      <c r="H14" s="2"/>
    </row>
    <row r="15" customFormat="false" ht="15" hidden="false" customHeight="false" outlineLevel="0" collapsed="false">
      <c r="A15" s="2" t="s">
        <v>243</v>
      </c>
      <c r="B15" s="9" t="n">
        <v>200</v>
      </c>
      <c r="C15" s="13" t="n">
        <f aca="false">SUMIFS(Transactions!$E$2:$E$5000,Transactions!$D$2:$D$5000,"Expense",Transactions!$G$2:$G$5000,A15,Transactions!$B$2:$B$5000,"&gt;="&amp;Settings!$B$4,Transactions!$B$2:$B$5000,"&lt;="&amp;EOMONTH(Settings!$B$4,0))-SUMIFS(Transactions!$E$2:$E$5000,Transactions!$D$2:$D$5000,"Refund",Transactions!$G$2:$G$5000,A15,Transactions!$B$2:$B$5000,"&gt;="&amp;Settings!$B$4,Transactions!$B$2:$B$5000,"&lt;="&amp;EOMONTH(Settings!$B$4,0))</f>
        <v>0</v>
      </c>
      <c r="D15" s="13" t="n">
        <f aca="false">B15-C15</f>
        <v>200</v>
      </c>
      <c r="E15" s="16" t="n">
        <f aca="false">IF(B15=0,0,C15/B15)</f>
        <v>0</v>
      </c>
      <c r="F15" s="13" t="n">
        <f aca="false">IF(Summary!$B$6=0,0,C15/Summary!$B$6*Summary!$B$5)</f>
        <v>0</v>
      </c>
      <c r="G15" s="2" t="str">
        <f aca="false">IF(B15=0,IF(C15&gt;0,"No budget","-"),IF(E15&gt;1,"Over",IF(E15&gt;=Settings!$B$9,"Warning","OK")))</f>
        <v>OK</v>
      </c>
      <c r="H15" s="2"/>
    </row>
    <row r="16" customFormat="false" ht="15" hidden="false" customHeight="false" outlineLevel="0" collapsed="false">
      <c r="A16" s="2" t="s">
        <v>244</v>
      </c>
      <c r="B16" s="9" t="n">
        <v>500</v>
      </c>
      <c r="C16" s="13" t="n">
        <f aca="false">SUMIFS(Transactions!$E$2:$E$5000,Transactions!$D$2:$D$5000,"Expense",Transactions!$G$2:$G$5000,A16,Transactions!$B$2:$B$5000,"&gt;="&amp;Settings!$B$4,Transactions!$B$2:$B$5000,"&lt;="&amp;EOMONTH(Settings!$B$4,0))-SUMIFS(Transactions!$E$2:$E$5000,Transactions!$D$2:$D$5000,"Refund",Transactions!$G$2:$G$5000,A16,Transactions!$B$2:$B$5000,"&gt;="&amp;Settings!$B$4,Transactions!$B$2:$B$5000,"&lt;="&amp;EOMONTH(Settings!$B$4,0))</f>
        <v>0</v>
      </c>
      <c r="D16" s="13" t="n">
        <f aca="false">B16-C16</f>
        <v>500</v>
      </c>
      <c r="E16" s="16" t="n">
        <f aca="false">IF(B16=0,0,C16/B16)</f>
        <v>0</v>
      </c>
      <c r="F16" s="13" t="n">
        <f aca="false">IF(Summary!$B$6=0,0,C16/Summary!$B$6*Summary!$B$5)</f>
        <v>0</v>
      </c>
      <c r="G16" s="2" t="str">
        <f aca="false">IF(B16=0,IF(C16&gt;0,"No budget","-"),IF(E16&gt;1,"Over",IF(E16&gt;=Settings!$B$9,"Warning","OK")))</f>
        <v>OK</v>
      </c>
      <c r="H16" s="2"/>
    </row>
    <row r="17" customFormat="false" ht="15" hidden="false" customHeight="false" outlineLevel="0" collapsed="false">
      <c r="A17" s="4" t="s">
        <v>245</v>
      </c>
      <c r="B17" s="14" t="n">
        <f aca="false">SUM(B2:B16)</f>
        <v>29400</v>
      </c>
      <c r="C17" s="14" t="n">
        <f aca="false">SUM(C2:C16)</f>
        <v>10120</v>
      </c>
      <c r="D17" s="14" t="n">
        <f aca="false">SUM(D2:D16)</f>
        <v>19280</v>
      </c>
      <c r="E17" s="15" t="n">
        <f aca="false">IF(B17=0,0,C17/B17)</f>
        <v>0.34421768707483</v>
      </c>
      <c r="F17" s="14" t="n">
        <f aca="false">SUM(F2:F16)</f>
        <v>26143.3333333333</v>
      </c>
      <c r="G17" s="2"/>
      <c r="H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5"/>
    <col collapsed="false" customWidth="true" hidden="false" outlineLevel="0" max="11" min="11" style="0" width="10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6" t="s">
        <v>246</v>
      </c>
      <c r="B1" s="6" t="s">
        <v>247</v>
      </c>
      <c r="C1" s="6" t="s">
        <v>248</v>
      </c>
      <c r="D1" s="6" t="s">
        <v>249</v>
      </c>
      <c r="E1" s="6" t="s">
        <v>48</v>
      </c>
      <c r="F1" s="6" t="s">
        <v>250</v>
      </c>
      <c r="G1" s="6" t="s">
        <v>251</v>
      </c>
      <c r="H1" s="6" t="s">
        <v>252</v>
      </c>
      <c r="I1" s="6" t="s">
        <v>253</v>
      </c>
      <c r="J1" s="6" t="s">
        <v>254</v>
      </c>
      <c r="K1" s="6" t="s">
        <v>221</v>
      </c>
      <c r="L1" s="6" t="s">
        <v>148</v>
      </c>
    </row>
    <row r="2" customFormat="false" ht="15" hidden="false" customHeight="false" outlineLevel="0" collapsed="false">
      <c r="A2" s="17" t="s">
        <v>177</v>
      </c>
      <c r="B2" s="17" t="s">
        <v>255</v>
      </c>
      <c r="C2" s="17" t="s">
        <v>176</v>
      </c>
      <c r="D2" s="17"/>
      <c r="E2" s="17" t="s">
        <v>49</v>
      </c>
      <c r="F2" s="22" t="n">
        <v>0</v>
      </c>
      <c r="G2" s="18" t="n">
        <v>46296</v>
      </c>
      <c r="H2" s="22" t="n">
        <v>0</v>
      </c>
      <c r="I2" s="18" t="n">
        <v>46296</v>
      </c>
      <c r="J2" s="17" t="s">
        <v>156</v>
      </c>
      <c r="K2" s="17" t="s">
        <v>221</v>
      </c>
      <c r="L2" s="17" t="s">
        <v>256</v>
      </c>
    </row>
    <row r="3" customFormat="false" ht="15" hidden="false" customHeight="false" outlineLevel="0" collapsed="false">
      <c r="A3" s="17" t="s">
        <v>154</v>
      </c>
      <c r="B3" s="17" t="s">
        <v>257</v>
      </c>
      <c r="C3" s="17" t="s">
        <v>258</v>
      </c>
      <c r="D3" s="17" t="s">
        <v>259</v>
      </c>
      <c r="E3" s="17" t="s">
        <v>49</v>
      </c>
      <c r="F3" s="22" t="n">
        <v>0</v>
      </c>
      <c r="G3" s="18" t="n">
        <v>46296</v>
      </c>
      <c r="H3" s="22" t="n">
        <v>0</v>
      </c>
      <c r="I3" s="18" t="n">
        <v>46296</v>
      </c>
      <c r="J3" s="17" t="s">
        <v>156</v>
      </c>
      <c r="K3" s="17" t="s">
        <v>221</v>
      </c>
      <c r="L3" s="17" t="s">
        <v>256</v>
      </c>
    </row>
    <row r="4" customFormat="false" ht="15" hidden="false" customHeight="false" outlineLevel="0" collapsed="false">
      <c r="A4" s="17" t="s">
        <v>260</v>
      </c>
      <c r="B4" s="17" t="s">
        <v>32</v>
      </c>
      <c r="C4" s="17" t="s">
        <v>261</v>
      </c>
      <c r="D4" s="17" t="s">
        <v>32</v>
      </c>
      <c r="E4" s="17" t="s">
        <v>49</v>
      </c>
      <c r="F4" s="22" t="n">
        <v>0</v>
      </c>
      <c r="G4" s="18" t="n">
        <v>46296</v>
      </c>
      <c r="H4" s="22" t="n">
        <v>0</v>
      </c>
      <c r="I4" s="18" t="n">
        <v>46296</v>
      </c>
      <c r="J4" s="17" t="s">
        <v>171</v>
      </c>
      <c r="K4" s="17" t="s">
        <v>221</v>
      </c>
      <c r="L4" s="17" t="s">
        <v>256</v>
      </c>
    </row>
  </sheetData>
  <dataValidations count="4">
    <dataValidation allowBlank="true" error="Pick a value from the dropdown list." errorStyle="stop" errorTitle="Invalid value" operator="between" showDropDown="false" showErrorMessage="true" showInputMessage="false" sqref="C2:C50" type="list">
      <formula1>Lists!$Q$2:$Q$7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J2:J50" type="list">
      <formula1>Lists!$E$2:$E$3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K2:K50" type="list">
      <formula1>Lists!$N$2:$N$4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E2:E50" type="list">
      <formula1>Lists!$D$2:$D$6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44"/>
  </cols>
  <sheetData>
    <row r="1" customFormat="false" ht="30" hidden="false" customHeight="true" outlineLevel="0" collapsed="false">
      <c r="A1" s="6" t="s">
        <v>262</v>
      </c>
      <c r="B1" s="6" t="s">
        <v>263</v>
      </c>
      <c r="C1" s="6" t="s">
        <v>264</v>
      </c>
      <c r="D1" s="6" t="s">
        <v>265</v>
      </c>
      <c r="E1" s="6" t="s">
        <v>266</v>
      </c>
      <c r="F1" s="6" t="s">
        <v>267</v>
      </c>
      <c r="G1" s="6" t="s">
        <v>268</v>
      </c>
      <c r="H1" s="6" t="s">
        <v>269</v>
      </c>
      <c r="I1" s="6" t="s">
        <v>270</v>
      </c>
      <c r="J1" s="6" t="s">
        <v>271</v>
      </c>
      <c r="K1" s="6" t="s">
        <v>48</v>
      </c>
      <c r="L1" s="6" t="s">
        <v>144</v>
      </c>
      <c r="M1" s="6" t="s">
        <v>148</v>
      </c>
    </row>
    <row r="2" customFormat="false" ht="15" hidden="false" customHeight="false" outlineLevel="0" collapsed="false">
      <c r="A2" s="17" t="s">
        <v>272</v>
      </c>
      <c r="B2" s="18" t="n">
        <v>46300</v>
      </c>
      <c r="C2" s="17" t="s">
        <v>273</v>
      </c>
      <c r="D2" s="17" t="s">
        <v>274</v>
      </c>
      <c r="E2" s="17"/>
      <c r="F2" s="2"/>
      <c r="G2" s="2"/>
      <c r="H2" s="20" t="n">
        <v>3000</v>
      </c>
      <c r="I2" s="20" t="n">
        <v>0</v>
      </c>
      <c r="J2" s="23" t="n">
        <f aca="false">IF(C2="","",IF(OR(C2="Purchase",C2="Fee",C2="Withdrawal"),-(H2+I2),H2-I2))</f>
        <v>3000</v>
      </c>
      <c r="K2" s="17" t="s">
        <v>49</v>
      </c>
      <c r="L2" s="17" t="s">
        <v>191</v>
      </c>
      <c r="M2" s="17" t="s">
        <v>275</v>
      </c>
    </row>
    <row r="3" customFormat="false" ht="15" hidden="false" customHeight="false" outlineLevel="0" collapsed="false">
      <c r="A3" s="17" t="s">
        <v>276</v>
      </c>
      <c r="B3" s="18" t="n">
        <v>46301</v>
      </c>
      <c r="C3" s="17" t="s">
        <v>277</v>
      </c>
      <c r="D3" s="17" t="s">
        <v>278</v>
      </c>
      <c r="E3" s="17"/>
      <c r="F3" s="17" t="n">
        <v>1500</v>
      </c>
      <c r="G3" s="17" t="n">
        <v>1</v>
      </c>
      <c r="H3" s="20" t="n">
        <v>1500</v>
      </c>
      <c r="I3" s="20" t="n">
        <v>0</v>
      </c>
      <c r="J3" s="23" t="n">
        <f aca="false">IF(C3="","",IF(OR(C3="Purchase",C3="Fee",C3="Withdrawal"),-(H3+I3),H3-I3))</f>
        <v>-1500</v>
      </c>
      <c r="K3" s="17" t="s">
        <v>49</v>
      </c>
      <c r="L3" s="17"/>
      <c r="M3" s="17" t="s">
        <v>275</v>
      </c>
    </row>
    <row r="4" customFormat="false" ht="15" hidden="false" customHeight="false" outlineLevel="0" collapsed="false">
      <c r="A4" s="17" t="s">
        <v>279</v>
      </c>
      <c r="B4" s="18" t="n">
        <v>46301</v>
      </c>
      <c r="C4" s="17" t="s">
        <v>277</v>
      </c>
      <c r="D4" s="17" t="s">
        <v>280</v>
      </c>
      <c r="E4" s="17" t="s">
        <v>281</v>
      </c>
      <c r="F4" s="17" t="n">
        <v>100</v>
      </c>
      <c r="G4" s="17" t="n">
        <v>14.5</v>
      </c>
      <c r="H4" s="20" t="n">
        <v>1450</v>
      </c>
      <c r="I4" s="20" t="n">
        <v>7.25</v>
      </c>
      <c r="J4" s="23" t="n">
        <f aca="false">IF(C4="","",IF(OR(C4="Purchase",C4="Fee",C4="Withdrawal"),-(H4+I4),H4-I4))</f>
        <v>-1457.25</v>
      </c>
      <c r="K4" s="17" t="s">
        <v>49</v>
      </c>
      <c r="L4" s="17"/>
      <c r="M4" s="17" t="s">
        <v>275</v>
      </c>
    </row>
    <row r="5" customFormat="false" ht="15" hidden="false" customHeight="false" outlineLevel="0" collapsed="false">
      <c r="A5" s="2"/>
      <c r="B5" s="11"/>
      <c r="C5" s="2"/>
      <c r="D5" s="2"/>
      <c r="E5" s="2"/>
      <c r="F5" s="2"/>
      <c r="G5" s="2"/>
      <c r="H5" s="23"/>
      <c r="I5" s="23"/>
      <c r="J5" s="23" t="str">
        <f aca="false">IF(C5="","",IF(OR(C5="Purchase",C5="Fee",C5="Withdrawal"),-(H5+I5),H5-I5))</f>
        <v/>
      </c>
      <c r="K5" s="2"/>
      <c r="L5" s="2"/>
      <c r="M5" s="2"/>
    </row>
    <row r="6" customFormat="false" ht="15" hidden="false" customHeight="false" outlineLevel="0" collapsed="false">
      <c r="A6" s="2"/>
      <c r="B6" s="11"/>
      <c r="C6" s="2"/>
      <c r="D6" s="2"/>
      <c r="E6" s="2"/>
      <c r="F6" s="2"/>
      <c r="G6" s="2"/>
      <c r="H6" s="23"/>
      <c r="I6" s="23"/>
      <c r="J6" s="23" t="str">
        <f aca="false">IF(C6="","",IF(OR(C6="Purchase",C6="Fee",C6="Withdrawal"),-(H6+I6),H6-I6))</f>
        <v/>
      </c>
      <c r="K6" s="2"/>
      <c r="L6" s="2"/>
      <c r="M6" s="2"/>
    </row>
    <row r="7" customFormat="false" ht="15" hidden="false" customHeight="false" outlineLevel="0" collapsed="false">
      <c r="A7" s="2"/>
      <c r="B7" s="11"/>
      <c r="C7" s="2"/>
      <c r="D7" s="2"/>
      <c r="E7" s="2"/>
      <c r="F7" s="2"/>
      <c r="G7" s="2"/>
      <c r="H7" s="23"/>
      <c r="I7" s="23"/>
      <c r="J7" s="23" t="str">
        <f aca="false">IF(C7="","",IF(OR(C7="Purchase",C7="Fee",C7="Withdrawal"),-(H7+I7),H7-I7))</f>
        <v/>
      </c>
      <c r="K7" s="2"/>
      <c r="L7" s="2"/>
      <c r="M7" s="2"/>
    </row>
    <row r="8" customFormat="false" ht="15" hidden="false" customHeight="false" outlineLevel="0" collapsed="false">
      <c r="A8" s="2"/>
      <c r="B8" s="11"/>
      <c r="C8" s="2"/>
      <c r="D8" s="2"/>
      <c r="E8" s="2"/>
      <c r="F8" s="2"/>
      <c r="G8" s="2"/>
      <c r="H8" s="23"/>
      <c r="I8" s="23"/>
      <c r="J8" s="23" t="str">
        <f aca="false">IF(C8="","",IF(OR(C8="Purchase",C8="Fee",C8="Withdrawal"),-(H8+I8),H8-I8))</f>
        <v/>
      </c>
      <c r="K8" s="2"/>
      <c r="L8" s="2"/>
      <c r="M8" s="2"/>
    </row>
    <row r="9" customFormat="false" ht="15" hidden="false" customHeight="false" outlineLevel="0" collapsed="false">
      <c r="A9" s="2"/>
      <c r="B9" s="11"/>
      <c r="C9" s="2"/>
      <c r="D9" s="2"/>
      <c r="E9" s="2"/>
      <c r="F9" s="2"/>
      <c r="G9" s="2"/>
      <c r="H9" s="23"/>
      <c r="I9" s="23"/>
      <c r="J9" s="23" t="str">
        <f aca="false">IF(C9="","",IF(OR(C9="Purchase",C9="Fee",C9="Withdrawal"),-(H9+I9),H9-I9))</f>
        <v/>
      </c>
      <c r="K9" s="2"/>
      <c r="L9" s="2"/>
      <c r="M9" s="2"/>
    </row>
    <row r="10" customFormat="false" ht="15" hidden="false" customHeight="false" outlineLevel="0" collapsed="false">
      <c r="A10" s="2"/>
      <c r="B10" s="11"/>
      <c r="C10" s="2"/>
      <c r="D10" s="2"/>
      <c r="E10" s="2"/>
      <c r="F10" s="2"/>
      <c r="G10" s="2"/>
      <c r="H10" s="23"/>
      <c r="I10" s="23"/>
      <c r="J10" s="23" t="str">
        <f aca="false">IF(C10="","",IF(OR(C10="Purchase",C10="Fee",C10="Withdrawal"),-(H10+I10),H10-I10))</f>
        <v/>
      </c>
      <c r="K10" s="2"/>
      <c r="L10" s="2"/>
      <c r="M10" s="2"/>
    </row>
    <row r="11" customFormat="false" ht="15" hidden="false" customHeight="false" outlineLevel="0" collapsed="false">
      <c r="A11" s="2"/>
      <c r="B11" s="11"/>
      <c r="C11" s="2"/>
      <c r="D11" s="2"/>
      <c r="E11" s="2"/>
      <c r="F11" s="2"/>
      <c r="G11" s="2"/>
      <c r="H11" s="23"/>
      <c r="I11" s="23"/>
      <c r="J11" s="23" t="str">
        <f aca="false">IF(C11="","",IF(OR(C11="Purchase",C11="Fee",C11="Withdrawal"),-(H11+I11),H11-I11))</f>
        <v/>
      </c>
      <c r="K11" s="2"/>
      <c r="L11" s="2"/>
      <c r="M11" s="2"/>
    </row>
    <row r="12" customFormat="false" ht="15" hidden="false" customHeight="false" outlineLevel="0" collapsed="false">
      <c r="A12" s="2"/>
      <c r="B12" s="11"/>
      <c r="C12" s="2"/>
      <c r="D12" s="2"/>
      <c r="E12" s="2"/>
      <c r="F12" s="2"/>
      <c r="G12" s="2"/>
      <c r="H12" s="23"/>
      <c r="I12" s="23"/>
      <c r="J12" s="23" t="str">
        <f aca="false">IF(C12="","",IF(OR(C12="Purchase",C12="Fee",C12="Withdrawal"),-(H12+I12),H12-I12))</f>
        <v/>
      </c>
      <c r="K12" s="2"/>
      <c r="L12" s="2"/>
      <c r="M12" s="2"/>
    </row>
    <row r="13" customFormat="false" ht="15" hidden="false" customHeight="false" outlineLevel="0" collapsed="false">
      <c r="A13" s="2"/>
      <c r="B13" s="11"/>
      <c r="C13" s="2"/>
      <c r="D13" s="2"/>
      <c r="E13" s="2"/>
      <c r="F13" s="2"/>
      <c r="G13" s="2"/>
      <c r="H13" s="23"/>
      <c r="I13" s="23"/>
      <c r="J13" s="23" t="str">
        <f aca="false">IF(C13="","",IF(OR(C13="Purchase",C13="Fee",C13="Withdrawal"),-(H13+I13),H13-I13))</f>
        <v/>
      </c>
      <c r="K13" s="2"/>
      <c r="L13" s="2"/>
      <c r="M13" s="2"/>
    </row>
    <row r="14" customFormat="false" ht="15" hidden="false" customHeight="false" outlineLevel="0" collapsed="false">
      <c r="A14" s="2"/>
      <c r="B14" s="11"/>
      <c r="C14" s="2"/>
      <c r="D14" s="2"/>
      <c r="E14" s="2"/>
      <c r="F14" s="2"/>
      <c r="G14" s="2"/>
      <c r="H14" s="23"/>
      <c r="I14" s="23"/>
      <c r="J14" s="23" t="str">
        <f aca="false">IF(C14="","",IF(OR(C14="Purchase",C14="Fee",C14="Withdrawal"),-(H14+I14),H14-I14))</f>
        <v/>
      </c>
      <c r="K14" s="2"/>
      <c r="L14" s="2"/>
      <c r="M14" s="2"/>
    </row>
    <row r="15" customFormat="false" ht="15" hidden="false" customHeight="false" outlineLevel="0" collapsed="false">
      <c r="A15" s="2"/>
      <c r="B15" s="11"/>
      <c r="C15" s="2"/>
      <c r="D15" s="2"/>
      <c r="E15" s="2"/>
      <c r="F15" s="2"/>
      <c r="G15" s="2"/>
      <c r="H15" s="23"/>
      <c r="I15" s="23"/>
      <c r="J15" s="23" t="str">
        <f aca="false">IF(C15="","",IF(OR(C15="Purchase",C15="Fee",C15="Withdrawal"),-(H15+I15),H15-I15))</f>
        <v/>
      </c>
      <c r="K15" s="2"/>
      <c r="L15" s="2"/>
      <c r="M15" s="2"/>
    </row>
    <row r="16" customFormat="false" ht="15" hidden="false" customHeight="false" outlineLevel="0" collapsed="false">
      <c r="A16" s="2"/>
      <c r="B16" s="11"/>
      <c r="C16" s="2"/>
      <c r="D16" s="2"/>
      <c r="E16" s="2"/>
      <c r="F16" s="2"/>
      <c r="G16" s="2"/>
      <c r="H16" s="23"/>
      <c r="I16" s="23"/>
      <c r="J16" s="23" t="str">
        <f aca="false">IF(C16="","",IF(OR(C16="Purchase",C16="Fee",C16="Withdrawal"),-(H16+I16),H16-I16))</f>
        <v/>
      </c>
      <c r="K16" s="2"/>
      <c r="L16" s="2"/>
      <c r="M16" s="2"/>
    </row>
    <row r="17" customFormat="false" ht="15" hidden="false" customHeight="false" outlineLevel="0" collapsed="false">
      <c r="A17" s="2"/>
      <c r="B17" s="11"/>
      <c r="C17" s="2"/>
      <c r="D17" s="2"/>
      <c r="E17" s="2"/>
      <c r="F17" s="2"/>
      <c r="G17" s="2"/>
      <c r="H17" s="23"/>
      <c r="I17" s="23"/>
      <c r="J17" s="23" t="str">
        <f aca="false">IF(C17="","",IF(OR(C17="Purchase",C17="Fee",C17="Withdrawal"),-(H17+I17),H17-I17))</f>
        <v/>
      </c>
      <c r="K17" s="2"/>
      <c r="L17" s="2"/>
      <c r="M17" s="2"/>
    </row>
    <row r="18" customFormat="false" ht="15" hidden="false" customHeight="false" outlineLevel="0" collapsed="false">
      <c r="A18" s="2"/>
      <c r="B18" s="11"/>
      <c r="C18" s="2"/>
      <c r="D18" s="2"/>
      <c r="E18" s="2"/>
      <c r="F18" s="2"/>
      <c r="G18" s="2"/>
      <c r="H18" s="23"/>
      <c r="I18" s="23"/>
      <c r="J18" s="23" t="str">
        <f aca="false">IF(C18="","",IF(OR(C18="Purchase",C18="Fee",C18="Withdrawal"),-(H18+I18),H18-I18))</f>
        <v/>
      </c>
      <c r="K18" s="2"/>
      <c r="L18" s="2"/>
      <c r="M18" s="2"/>
    </row>
    <row r="19" customFormat="false" ht="15" hidden="false" customHeight="false" outlineLevel="0" collapsed="false">
      <c r="A19" s="2"/>
      <c r="B19" s="11"/>
      <c r="C19" s="2"/>
      <c r="D19" s="2"/>
      <c r="E19" s="2"/>
      <c r="F19" s="2"/>
      <c r="G19" s="2"/>
      <c r="H19" s="23"/>
      <c r="I19" s="23"/>
      <c r="J19" s="23" t="str">
        <f aca="false">IF(C19="","",IF(OR(C19="Purchase",C19="Fee",C19="Withdrawal"),-(H19+I19),H19-I19))</f>
        <v/>
      </c>
      <c r="K19" s="2"/>
      <c r="L19" s="2"/>
      <c r="M19" s="2"/>
    </row>
    <row r="20" customFormat="false" ht="15" hidden="false" customHeight="false" outlineLevel="0" collapsed="false">
      <c r="A20" s="2"/>
      <c r="B20" s="11"/>
      <c r="C20" s="2"/>
      <c r="D20" s="2"/>
      <c r="E20" s="2"/>
      <c r="F20" s="2"/>
      <c r="G20" s="2"/>
      <c r="H20" s="23"/>
      <c r="I20" s="23"/>
      <c r="J20" s="23" t="str">
        <f aca="false">IF(C20="","",IF(OR(C20="Purchase",C20="Fee",C20="Withdrawal"),-(H20+I20),H20-I20))</f>
        <v/>
      </c>
      <c r="K20" s="2"/>
      <c r="L20" s="2"/>
      <c r="M20" s="2"/>
    </row>
    <row r="21" customFormat="false" ht="15" hidden="false" customHeight="false" outlineLevel="0" collapsed="false">
      <c r="A21" s="2"/>
      <c r="B21" s="11"/>
      <c r="C21" s="2"/>
      <c r="D21" s="2"/>
      <c r="E21" s="2"/>
      <c r="F21" s="2"/>
      <c r="G21" s="2"/>
      <c r="H21" s="23"/>
      <c r="I21" s="23"/>
      <c r="J21" s="23" t="str">
        <f aca="false">IF(C21="","",IF(OR(C21="Purchase",C21="Fee",C21="Withdrawal"),-(H21+I21),H21-I21))</f>
        <v/>
      </c>
      <c r="K21" s="2"/>
      <c r="L21" s="2"/>
      <c r="M21" s="2"/>
    </row>
    <row r="22" customFormat="false" ht="15" hidden="false" customHeight="false" outlineLevel="0" collapsed="false">
      <c r="A22" s="2"/>
      <c r="B22" s="11"/>
      <c r="C22" s="2"/>
      <c r="D22" s="2"/>
      <c r="E22" s="2"/>
      <c r="F22" s="2"/>
      <c r="G22" s="2"/>
      <c r="H22" s="23"/>
      <c r="I22" s="23"/>
      <c r="J22" s="23" t="str">
        <f aca="false">IF(C22="","",IF(OR(C22="Purchase",C22="Fee",C22="Withdrawal"),-(H22+I22),H22-I22))</f>
        <v/>
      </c>
      <c r="K22" s="2"/>
      <c r="L22" s="2"/>
      <c r="M22" s="2"/>
    </row>
    <row r="23" customFormat="false" ht="15" hidden="false" customHeight="false" outlineLevel="0" collapsed="false">
      <c r="A23" s="2"/>
      <c r="B23" s="11"/>
      <c r="C23" s="2"/>
      <c r="D23" s="2"/>
      <c r="E23" s="2"/>
      <c r="F23" s="2"/>
      <c r="G23" s="2"/>
      <c r="H23" s="23"/>
      <c r="I23" s="23"/>
      <c r="J23" s="23" t="str">
        <f aca="false">IF(C23="","",IF(OR(C23="Purchase",C23="Fee",C23="Withdrawal"),-(H23+I23),H23-I23))</f>
        <v/>
      </c>
      <c r="K23" s="2"/>
      <c r="L23" s="2"/>
      <c r="M23" s="2"/>
    </row>
    <row r="24" customFormat="false" ht="15" hidden="false" customHeight="false" outlineLevel="0" collapsed="false">
      <c r="A24" s="2"/>
      <c r="B24" s="11"/>
      <c r="C24" s="2"/>
      <c r="D24" s="2"/>
      <c r="E24" s="2"/>
      <c r="F24" s="2"/>
      <c r="G24" s="2"/>
      <c r="H24" s="23"/>
      <c r="I24" s="23"/>
      <c r="J24" s="23" t="str">
        <f aca="false">IF(C24="","",IF(OR(C24="Purchase",C24="Fee",C24="Withdrawal"),-(H24+I24),H24-I24))</f>
        <v/>
      </c>
      <c r="K24" s="2"/>
      <c r="L24" s="2"/>
      <c r="M24" s="2"/>
    </row>
    <row r="25" customFormat="false" ht="15" hidden="false" customHeight="false" outlineLevel="0" collapsed="false">
      <c r="A25" s="2"/>
      <c r="B25" s="11"/>
      <c r="C25" s="2"/>
      <c r="D25" s="2"/>
      <c r="E25" s="2"/>
      <c r="F25" s="2"/>
      <c r="G25" s="2"/>
      <c r="H25" s="23"/>
      <c r="I25" s="23"/>
      <c r="J25" s="23" t="str">
        <f aca="false">IF(C25="","",IF(OR(C25="Purchase",C25="Fee",C25="Withdrawal"),-(H25+I25),H25-I25))</f>
        <v/>
      </c>
      <c r="K25" s="2"/>
      <c r="L25" s="2"/>
      <c r="M25" s="2"/>
    </row>
    <row r="26" customFormat="false" ht="15" hidden="false" customHeight="false" outlineLevel="0" collapsed="false">
      <c r="A26" s="2"/>
      <c r="B26" s="11"/>
      <c r="C26" s="2"/>
      <c r="D26" s="2"/>
      <c r="E26" s="2"/>
      <c r="F26" s="2"/>
      <c r="G26" s="2"/>
      <c r="H26" s="23"/>
      <c r="I26" s="23"/>
      <c r="J26" s="23" t="str">
        <f aca="false">IF(C26="","",IF(OR(C26="Purchase",C26="Fee",C26="Withdrawal"),-(H26+I26),H26-I26))</f>
        <v/>
      </c>
      <c r="K26" s="2"/>
      <c r="L26" s="2"/>
      <c r="M26" s="2"/>
    </row>
    <row r="27" customFormat="false" ht="15" hidden="false" customHeight="false" outlineLevel="0" collapsed="false">
      <c r="A27" s="2"/>
      <c r="B27" s="11"/>
      <c r="C27" s="2"/>
      <c r="D27" s="2"/>
      <c r="E27" s="2"/>
      <c r="F27" s="2"/>
      <c r="G27" s="2"/>
      <c r="H27" s="23"/>
      <c r="I27" s="23"/>
      <c r="J27" s="23" t="str">
        <f aca="false">IF(C27="","",IF(OR(C27="Purchase",C27="Fee",C27="Withdrawal"),-(H27+I27),H27-I27))</f>
        <v/>
      </c>
      <c r="K27" s="2"/>
      <c r="L27" s="2"/>
      <c r="M27" s="2"/>
    </row>
    <row r="28" customFormat="false" ht="15" hidden="false" customHeight="false" outlineLevel="0" collapsed="false">
      <c r="A28" s="2"/>
      <c r="B28" s="11"/>
      <c r="C28" s="2"/>
      <c r="D28" s="2"/>
      <c r="E28" s="2"/>
      <c r="F28" s="2"/>
      <c r="G28" s="2"/>
      <c r="H28" s="23"/>
      <c r="I28" s="23"/>
      <c r="J28" s="23" t="str">
        <f aca="false">IF(C28="","",IF(OR(C28="Purchase",C28="Fee",C28="Withdrawal"),-(H28+I28),H28-I28))</f>
        <v/>
      </c>
      <c r="K28" s="2"/>
      <c r="L28" s="2"/>
      <c r="M28" s="2"/>
    </row>
    <row r="29" customFormat="false" ht="15" hidden="false" customHeight="false" outlineLevel="0" collapsed="false">
      <c r="A29" s="2"/>
      <c r="B29" s="11"/>
      <c r="C29" s="2"/>
      <c r="D29" s="2"/>
      <c r="E29" s="2"/>
      <c r="F29" s="2"/>
      <c r="G29" s="2"/>
      <c r="H29" s="23"/>
      <c r="I29" s="23"/>
      <c r="J29" s="23" t="str">
        <f aca="false">IF(C29="","",IF(OR(C29="Purchase",C29="Fee",C29="Withdrawal"),-(H29+I29),H29-I29))</f>
        <v/>
      </c>
      <c r="K29" s="2"/>
      <c r="L29" s="2"/>
      <c r="M29" s="2"/>
    </row>
    <row r="30" customFormat="false" ht="15" hidden="false" customHeight="false" outlineLevel="0" collapsed="false">
      <c r="A30" s="2"/>
      <c r="B30" s="11"/>
      <c r="C30" s="2"/>
      <c r="D30" s="2"/>
      <c r="E30" s="2"/>
      <c r="F30" s="2"/>
      <c r="G30" s="2"/>
      <c r="H30" s="23"/>
      <c r="I30" s="23"/>
      <c r="J30" s="23" t="str">
        <f aca="false">IF(C30="","",IF(OR(C30="Purchase",C30="Fee",C30="Withdrawal"),-(H30+I30),H30-I30))</f>
        <v/>
      </c>
      <c r="K30" s="2"/>
      <c r="L30" s="2"/>
      <c r="M30" s="2"/>
    </row>
    <row r="31" customFormat="false" ht="15" hidden="false" customHeight="false" outlineLevel="0" collapsed="false">
      <c r="A31" s="2"/>
      <c r="B31" s="11"/>
      <c r="C31" s="2"/>
      <c r="D31" s="2"/>
      <c r="E31" s="2"/>
      <c r="F31" s="2"/>
      <c r="G31" s="2"/>
      <c r="H31" s="23"/>
      <c r="I31" s="23"/>
      <c r="J31" s="23" t="str">
        <f aca="false">IF(C31="","",IF(OR(C31="Purchase",C31="Fee",C31="Withdrawal"),-(H31+I31),H31-I31))</f>
        <v/>
      </c>
      <c r="K31" s="2"/>
      <c r="L31" s="2"/>
      <c r="M31" s="2"/>
    </row>
    <row r="32" customFormat="false" ht="15" hidden="false" customHeight="false" outlineLevel="0" collapsed="false">
      <c r="A32" s="2"/>
      <c r="B32" s="11"/>
      <c r="C32" s="2"/>
      <c r="D32" s="2"/>
      <c r="E32" s="2"/>
      <c r="F32" s="2"/>
      <c r="G32" s="2"/>
      <c r="H32" s="23"/>
      <c r="I32" s="23"/>
      <c r="J32" s="23" t="str">
        <f aca="false">IF(C32="","",IF(OR(C32="Purchase",C32="Fee",C32="Withdrawal"),-(H32+I32),H32-I32))</f>
        <v/>
      </c>
      <c r="K32" s="2"/>
      <c r="L32" s="2"/>
      <c r="M32" s="2"/>
    </row>
    <row r="33" customFormat="false" ht="15" hidden="false" customHeight="false" outlineLevel="0" collapsed="false">
      <c r="A33" s="2"/>
      <c r="B33" s="11"/>
      <c r="C33" s="2"/>
      <c r="D33" s="2"/>
      <c r="E33" s="2"/>
      <c r="F33" s="2"/>
      <c r="G33" s="2"/>
      <c r="H33" s="23"/>
      <c r="I33" s="23"/>
      <c r="J33" s="23" t="str">
        <f aca="false">IF(C33="","",IF(OR(C33="Purchase",C33="Fee",C33="Withdrawal"),-(H33+I33),H33-I33))</f>
        <v/>
      </c>
      <c r="K33" s="2"/>
      <c r="L33" s="2"/>
      <c r="M33" s="2"/>
    </row>
    <row r="34" customFormat="false" ht="15" hidden="false" customHeight="false" outlineLevel="0" collapsed="false">
      <c r="A34" s="2"/>
      <c r="B34" s="11"/>
      <c r="C34" s="2"/>
      <c r="D34" s="2"/>
      <c r="E34" s="2"/>
      <c r="F34" s="2"/>
      <c r="G34" s="2"/>
      <c r="H34" s="23"/>
      <c r="I34" s="23"/>
      <c r="J34" s="23" t="str">
        <f aca="false">IF(C34="","",IF(OR(C34="Purchase",C34="Fee",C34="Withdrawal"),-(H34+I34),H34-I34))</f>
        <v/>
      </c>
      <c r="K34" s="2"/>
      <c r="L34" s="2"/>
      <c r="M34" s="2"/>
    </row>
    <row r="35" customFormat="false" ht="15" hidden="false" customHeight="false" outlineLevel="0" collapsed="false">
      <c r="A35" s="2"/>
      <c r="B35" s="11"/>
      <c r="C35" s="2"/>
      <c r="D35" s="2"/>
      <c r="E35" s="2"/>
      <c r="F35" s="2"/>
      <c r="G35" s="2"/>
      <c r="H35" s="23"/>
      <c r="I35" s="23"/>
      <c r="J35" s="23" t="str">
        <f aca="false">IF(C35="","",IF(OR(C35="Purchase",C35="Fee",C35="Withdrawal"),-(H35+I35),H35-I35))</f>
        <v/>
      </c>
      <c r="K35" s="2"/>
      <c r="L35" s="2"/>
      <c r="M35" s="2"/>
    </row>
    <row r="36" customFormat="false" ht="15" hidden="false" customHeight="false" outlineLevel="0" collapsed="false">
      <c r="A36" s="2"/>
      <c r="B36" s="11"/>
      <c r="C36" s="2"/>
      <c r="D36" s="2"/>
      <c r="E36" s="2"/>
      <c r="F36" s="2"/>
      <c r="G36" s="2"/>
      <c r="H36" s="23"/>
      <c r="I36" s="23"/>
      <c r="J36" s="23" t="str">
        <f aca="false">IF(C36="","",IF(OR(C36="Purchase",C36="Fee",C36="Withdrawal"),-(H36+I36),H36-I36))</f>
        <v/>
      </c>
      <c r="K36" s="2"/>
      <c r="L36" s="2"/>
      <c r="M36" s="2"/>
    </row>
    <row r="37" customFormat="false" ht="15" hidden="false" customHeight="false" outlineLevel="0" collapsed="false">
      <c r="A37" s="2"/>
      <c r="B37" s="11"/>
      <c r="C37" s="2"/>
      <c r="D37" s="2"/>
      <c r="E37" s="2"/>
      <c r="F37" s="2"/>
      <c r="G37" s="2"/>
      <c r="H37" s="23"/>
      <c r="I37" s="23"/>
      <c r="J37" s="23" t="str">
        <f aca="false">IF(C37="","",IF(OR(C37="Purchase",C37="Fee",C37="Withdrawal"),-(H37+I37),H37-I37))</f>
        <v/>
      </c>
      <c r="K37" s="2"/>
      <c r="L37" s="2"/>
      <c r="M37" s="2"/>
    </row>
    <row r="38" customFormat="false" ht="15" hidden="false" customHeight="false" outlineLevel="0" collapsed="false">
      <c r="A38" s="2"/>
      <c r="B38" s="11"/>
      <c r="C38" s="2"/>
      <c r="D38" s="2"/>
      <c r="E38" s="2"/>
      <c r="F38" s="2"/>
      <c r="G38" s="2"/>
      <c r="H38" s="23"/>
      <c r="I38" s="23"/>
      <c r="J38" s="23" t="str">
        <f aca="false">IF(C38="","",IF(OR(C38="Purchase",C38="Fee",C38="Withdrawal"),-(H38+I38),H38-I38))</f>
        <v/>
      </c>
      <c r="K38" s="2"/>
      <c r="L38" s="2"/>
      <c r="M38" s="2"/>
    </row>
    <row r="39" customFormat="false" ht="15" hidden="false" customHeight="false" outlineLevel="0" collapsed="false">
      <c r="A39" s="2"/>
      <c r="B39" s="11"/>
      <c r="C39" s="2"/>
      <c r="D39" s="2"/>
      <c r="E39" s="2"/>
      <c r="F39" s="2"/>
      <c r="G39" s="2"/>
      <c r="H39" s="23"/>
      <c r="I39" s="23"/>
      <c r="J39" s="23" t="str">
        <f aca="false">IF(C39="","",IF(OR(C39="Purchase",C39="Fee",C39="Withdrawal"),-(H39+I39),H39-I39))</f>
        <v/>
      </c>
      <c r="K39" s="2"/>
      <c r="L39" s="2"/>
      <c r="M39" s="2"/>
    </row>
    <row r="40" customFormat="false" ht="15" hidden="false" customHeight="false" outlineLevel="0" collapsed="false">
      <c r="A40" s="2"/>
      <c r="B40" s="11"/>
      <c r="C40" s="2"/>
      <c r="D40" s="2"/>
      <c r="E40" s="2"/>
      <c r="F40" s="2"/>
      <c r="G40" s="2"/>
      <c r="H40" s="23"/>
      <c r="I40" s="23"/>
      <c r="J40" s="23" t="str">
        <f aca="false">IF(C40="","",IF(OR(C40="Purchase",C40="Fee",C40="Withdrawal"),-(H40+I40),H40-I40))</f>
        <v/>
      </c>
      <c r="K40" s="2"/>
      <c r="L40" s="2"/>
      <c r="M40" s="2"/>
    </row>
    <row r="41" customFormat="false" ht="15" hidden="false" customHeight="false" outlineLevel="0" collapsed="false">
      <c r="A41" s="2"/>
      <c r="B41" s="11"/>
      <c r="C41" s="2"/>
      <c r="D41" s="2"/>
      <c r="E41" s="2"/>
      <c r="F41" s="2"/>
      <c r="G41" s="2"/>
      <c r="H41" s="23"/>
      <c r="I41" s="23"/>
      <c r="J41" s="23" t="str">
        <f aca="false">IF(C41="","",IF(OR(C41="Purchase",C41="Fee",C41="Withdrawal"),-(H41+I41),H41-I41))</f>
        <v/>
      </c>
      <c r="K41" s="2"/>
      <c r="L41" s="2"/>
      <c r="M41" s="2"/>
    </row>
    <row r="42" customFormat="false" ht="15" hidden="false" customHeight="false" outlineLevel="0" collapsed="false">
      <c r="A42" s="2"/>
      <c r="B42" s="11"/>
      <c r="C42" s="2"/>
      <c r="D42" s="2"/>
      <c r="E42" s="2"/>
      <c r="F42" s="2"/>
      <c r="G42" s="2"/>
      <c r="H42" s="23"/>
      <c r="I42" s="23"/>
      <c r="J42" s="23" t="str">
        <f aca="false">IF(C42="","",IF(OR(C42="Purchase",C42="Fee",C42="Withdrawal"),-(H42+I42),H42-I42))</f>
        <v/>
      </c>
      <c r="K42" s="2"/>
      <c r="L42" s="2"/>
      <c r="M42" s="2"/>
    </row>
    <row r="43" customFormat="false" ht="15" hidden="false" customHeight="false" outlineLevel="0" collapsed="false">
      <c r="A43" s="2"/>
      <c r="B43" s="11"/>
      <c r="C43" s="2"/>
      <c r="D43" s="2"/>
      <c r="E43" s="2"/>
      <c r="F43" s="2"/>
      <c r="G43" s="2"/>
      <c r="H43" s="23"/>
      <c r="I43" s="23"/>
      <c r="J43" s="23" t="str">
        <f aca="false">IF(C43="","",IF(OR(C43="Purchase",C43="Fee",C43="Withdrawal"),-(H43+I43),H43-I43))</f>
        <v/>
      </c>
      <c r="K43" s="2"/>
      <c r="L43" s="2"/>
      <c r="M43" s="2"/>
    </row>
    <row r="44" customFormat="false" ht="15" hidden="false" customHeight="false" outlineLevel="0" collapsed="false">
      <c r="A44" s="2"/>
      <c r="B44" s="11"/>
      <c r="C44" s="2"/>
      <c r="D44" s="2"/>
      <c r="E44" s="2"/>
      <c r="F44" s="2"/>
      <c r="G44" s="2"/>
      <c r="H44" s="23"/>
      <c r="I44" s="23"/>
      <c r="J44" s="23" t="str">
        <f aca="false">IF(C44="","",IF(OR(C44="Purchase",C44="Fee",C44="Withdrawal"),-(H44+I44),H44-I44))</f>
        <v/>
      </c>
      <c r="K44" s="2"/>
      <c r="L44" s="2"/>
      <c r="M44" s="2"/>
    </row>
    <row r="45" customFormat="false" ht="15" hidden="false" customHeight="false" outlineLevel="0" collapsed="false">
      <c r="A45" s="2"/>
      <c r="B45" s="11"/>
      <c r="C45" s="2"/>
      <c r="D45" s="2"/>
      <c r="E45" s="2"/>
      <c r="F45" s="2"/>
      <c r="G45" s="2"/>
      <c r="H45" s="23"/>
      <c r="I45" s="23"/>
      <c r="J45" s="23" t="str">
        <f aca="false">IF(C45="","",IF(OR(C45="Purchase",C45="Fee",C45="Withdrawal"),-(H45+I45),H45-I45))</f>
        <v/>
      </c>
      <c r="K45" s="2"/>
      <c r="L45" s="2"/>
      <c r="M45" s="2"/>
    </row>
    <row r="46" customFormat="false" ht="15" hidden="false" customHeight="false" outlineLevel="0" collapsed="false">
      <c r="A46" s="2"/>
      <c r="B46" s="11"/>
      <c r="C46" s="2"/>
      <c r="D46" s="2"/>
      <c r="E46" s="2"/>
      <c r="F46" s="2"/>
      <c r="G46" s="2"/>
      <c r="H46" s="23"/>
      <c r="I46" s="23"/>
      <c r="J46" s="23" t="str">
        <f aca="false">IF(C46="","",IF(OR(C46="Purchase",C46="Fee",C46="Withdrawal"),-(H46+I46),H46-I46))</f>
        <v/>
      </c>
      <c r="K46" s="2"/>
      <c r="L46" s="2"/>
      <c r="M46" s="2"/>
    </row>
    <row r="47" customFormat="false" ht="15" hidden="false" customHeight="false" outlineLevel="0" collapsed="false">
      <c r="A47" s="2"/>
      <c r="B47" s="11"/>
      <c r="C47" s="2"/>
      <c r="D47" s="2"/>
      <c r="E47" s="2"/>
      <c r="F47" s="2"/>
      <c r="G47" s="2"/>
      <c r="H47" s="23"/>
      <c r="I47" s="23"/>
      <c r="J47" s="23" t="str">
        <f aca="false">IF(C47="","",IF(OR(C47="Purchase",C47="Fee",C47="Withdrawal"),-(H47+I47),H47-I47))</f>
        <v/>
      </c>
      <c r="K47" s="2"/>
      <c r="L47" s="2"/>
      <c r="M47" s="2"/>
    </row>
    <row r="48" customFormat="false" ht="15" hidden="false" customHeight="false" outlineLevel="0" collapsed="false">
      <c r="A48" s="2"/>
      <c r="B48" s="11"/>
      <c r="C48" s="2"/>
      <c r="D48" s="2"/>
      <c r="E48" s="2"/>
      <c r="F48" s="2"/>
      <c r="G48" s="2"/>
      <c r="H48" s="23"/>
      <c r="I48" s="23"/>
      <c r="J48" s="23" t="str">
        <f aca="false">IF(C48="","",IF(OR(C48="Purchase",C48="Fee",C48="Withdrawal"),-(H48+I48),H48-I48))</f>
        <v/>
      </c>
      <c r="K48" s="2"/>
      <c r="L48" s="2"/>
      <c r="M48" s="2"/>
    </row>
    <row r="49" customFormat="false" ht="15" hidden="false" customHeight="false" outlineLevel="0" collapsed="false">
      <c r="A49" s="2"/>
      <c r="B49" s="11"/>
      <c r="C49" s="2"/>
      <c r="D49" s="2"/>
      <c r="E49" s="2"/>
      <c r="F49" s="2"/>
      <c r="G49" s="2"/>
      <c r="H49" s="23"/>
      <c r="I49" s="23"/>
      <c r="J49" s="23" t="str">
        <f aca="false">IF(C49="","",IF(OR(C49="Purchase",C49="Fee",C49="Withdrawal"),-(H49+I49),H49-I49))</f>
        <v/>
      </c>
      <c r="K49" s="2"/>
      <c r="L49" s="2"/>
      <c r="M49" s="2"/>
    </row>
    <row r="50" customFormat="false" ht="15" hidden="false" customHeight="false" outlineLevel="0" collapsed="false">
      <c r="A50" s="2"/>
      <c r="B50" s="11"/>
      <c r="C50" s="2"/>
      <c r="D50" s="2"/>
      <c r="E50" s="2"/>
      <c r="F50" s="2"/>
      <c r="G50" s="2"/>
      <c r="H50" s="23"/>
      <c r="I50" s="23"/>
      <c r="J50" s="23" t="str">
        <f aca="false">IF(C50="","",IF(OR(C50="Purchase",C50="Fee",C50="Withdrawal"),-(H50+I50),H50-I50))</f>
        <v/>
      </c>
      <c r="K50" s="2"/>
      <c r="L50" s="2"/>
      <c r="M50" s="2"/>
    </row>
    <row r="51" customFormat="false" ht="15" hidden="false" customHeight="false" outlineLevel="0" collapsed="false">
      <c r="A51" s="2"/>
      <c r="B51" s="11"/>
      <c r="C51" s="2"/>
      <c r="D51" s="2"/>
      <c r="E51" s="2"/>
      <c r="F51" s="2"/>
      <c r="G51" s="2"/>
      <c r="H51" s="23"/>
      <c r="I51" s="23"/>
      <c r="J51" s="23" t="str">
        <f aca="false">IF(C51="","",IF(OR(C51="Purchase",C51="Fee",C51="Withdrawal"),-(H51+I51),H51-I51))</f>
        <v/>
      </c>
      <c r="K51" s="2"/>
      <c r="L51" s="2"/>
      <c r="M51" s="2"/>
    </row>
    <row r="52" customFormat="false" ht="15" hidden="false" customHeight="false" outlineLevel="0" collapsed="false">
      <c r="A52" s="2"/>
      <c r="B52" s="11"/>
      <c r="C52" s="2"/>
      <c r="D52" s="2"/>
      <c r="E52" s="2"/>
      <c r="F52" s="2"/>
      <c r="G52" s="2"/>
      <c r="H52" s="23"/>
      <c r="I52" s="23"/>
      <c r="J52" s="23" t="str">
        <f aca="false">IF(C52="","",IF(OR(C52="Purchase",C52="Fee",C52="Withdrawal"),-(H52+I52),H52-I52))</f>
        <v/>
      </c>
      <c r="K52" s="2"/>
      <c r="L52" s="2"/>
      <c r="M52" s="2"/>
    </row>
    <row r="53" customFormat="false" ht="15" hidden="false" customHeight="false" outlineLevel="0" collapsed="false">
      <c r="A53" s="2"/>
      <c r="B53" s="11"/>
      <c r="C53" s="2"/>
      <c r="D53" s="2"/>
      <c r="E53" s="2"/>
      <c r="F53" s="2"/>
      <c r="G53" s="2"/>
      <c r="H53" s="23"/>
      <c r="I53" s="23"/>
      <c r="J53" s="23" t="str">
        <f aca="false">IF(C53="","",IF(OR(C53="Purchase",C53="Fee",C53="Withdrawal"),-(H53+I53),H53-I53))</f>
        <v/>
      </c>
      <c r="K53" s="2"/>
      <c r="L53" s="2"/>
      <c r="M53" s="2"/>
    </row>
    <row r="54" customFormat="false" ht="15" hidden="false" customHeight="false" outlineLevel="0" collapsed="false">
      <c r="A54" s="2"/>
      <c r="B54" s="11"/>
      <c r="C54" s="2"/>
      <c r="D54" s="2"/>
      <c r="E54" s="2"/>
      <c r="F54" s="2"/>
      <c r="G54" s="2"/>
      <c r="H54" s="23"/>
      <c r="I54" s="23"/>
      <c r="J54" s="23" t="str">
        <f aca="false">IF(C54="","",IF(OR(C54="Purchase",C54="Fee",C54="Withdrawal"),-(H54+I54),H54-I54))</f>
        <v/>
      </c>
      <c r="K54" s="2"/>
      <c r="L54" s="2"/>
      <c r="M54" s="2"/>
    </row>
    <row r="55" customFormat="false" ht="15" hidden="false" customHeight="false" outlineLevel="0" collapsed="false">
      <c r="A55" s="2"/>
      <c r="B55" s="11"/>
      <c r="C55" s="2"/>
      <c r="D55" s="2"/>
      <c r="E55" s="2"/>
      <c r="F55" s="2"/>
      <c r="G55" s="2"/>
      <c r="H55" s="23"/>
      <c r="I55" s="23"/>
      <c r="J55" s="23" t="str">
        <f aca="false">IF(C55="","",IF(OR(C55="Purchase",C55="Fee",C55="Withdrawal"),-(H55+I55),H55-I55))</f>
        <v/>
      </c>
      <c r="K55" s="2"/>
      <c r="L55" s="2"/>
      <c r="M55" s="2"/>
    </row>
    <row r="56" customFormat="false" ht="15" hidden="false" customHeight="false" outlineLevel="0" collapsed="false">
      <c r="A56" s="2"/>
      <c r="B56" s="11"/>
      <c r="C56" s="2"/>
      <c r="D56" s="2"/>
      <c r="E56" s="2"/>
      <c r="F56" s="2"/>
      <c r="G56" s="2"/>
      <c r="H56" s="23"/>
      <c r="I56" s="23"/>
      <c r="J56" s="23" t="str">
        <f aca="false">IF(C56="","",IF(OR(C56="Purchase",C56="Fee",C56="Withdrawal"),-(H56+I56),H56-I56))</f>
        <v/>
      </c>
      <c r="K56" s="2"/>
      <c r="L56" s="2"/>
      <c r="M56" s="2"/>
    </row>
    <row r="57" customFormat="false" ht="15" hidden="false" customHeight="false" outlineLevel="0" collapsed="false">
      <c r="A57" s="2"/>
      <c r="B57" s="11"/>
      <c r="C57" s="2"/>
      <c r="D57" s="2"/>
      <c r="E57" s="2"/>
      <c r="F57" s="2"/>
      <c r="G57" s="2"/>
      <c r="H57" s="23"/>
      <c r="I57" s="23"/>
      <c r="J57" s="23" t="str">
        <f aca="false">IF(C57="","",IF(OR(C57="Purchase",C57="Fee",C57="Withdrawal"),-(H57+I57),H57-I57))</f>
        <v/>
      </c>
      <c r="K57" s="2"/>
      <c r="L57" s="2"/>
      <c r="M57" s="2"/>
    </row>
    <row r="58" customFormat="false" ht="15" hidden="false" customHeight="false" outlineLevel="0" collapsed="false">
      <c r="A58" s="2"/>
      <c r="B58" s="11"/>
      <c r="C58" s="2"/>
      <c r="D58" s="2"/>
      <c r="E58" s="2"/>
      <c r="F58" s="2"/>
      <c r="G58" s="2"/>
      <c r="H58" s="23"/>
      <c r="I58" s="23"/>
      <c r="J58" s="23" t="str">
        <f aca="false">IF(C58="","",IF(OR(C58="Purchase",C58="Fee",C58="Withdrawal"),-(H58+I58),H58-I58))</f>
        <v/>
      </c>
      <c r="K58" s="2"/>
      <c r="L58" s="2"/>
      <c r="M58" s="2"/>
    </row>
    <row r="59" customFormat="false" ht="15" hidden="false" customHeight="false" outlineLevel="0" collapsed="false">
      <c r="A59" s="2"/>
      <c r="B59" s="11"/>
      <c r="C59" s="2"/>
      <c r="D59" s="2"/>
      <c r="E59" s="2"/>
      <c r="F59" s="2"/>
      <c r="G59" s="2"/>
      <c r="H59" s="23"/>
      <c r="I59" s="23"/>
      <c r="J59" s="23" t="str">
        <f aca="false">IF(C59="","",IF(OR(C59="Purchase",C59="Fee",C59="Withdrawal"),-(H59+I59),H59-I59))</f>
        <v/>
      </c>
      <c r="K59" s="2"/>
      <c r="L59" s="2"/>
      <c r="M59" s="2"/>
    </row>
    <row r="60" customFormat="false" ht="15" hidden="false" customHeight="false" outlineLevel="0" collapsed="false">
      <c r="A60" s="2"/>
      <c r="B60" s="11"/>
      <c r="C60" s="2"/>
      <c r="D60" s="2"/>
      <c r="E60" s="2"/>
      <c r="F60" s="2"/>
      <c r="G60" s="2"/>
      <c r="H60" s="23"/>
      <c r="I60" s="23"/>
      <c r="J60" s="23" t="str">
        <f aca="false">IF(C60="","",IF(OR(C60="Purchase",C60="Fee",C60="Withdrawal"),-(H60+I60),H60-I60))</f>
        <v/>
      </c>
      <c r="K60" s="2"/>
      <c r="L60" s="2"/>
      <c r="M60" s="2"/>
    </row>
    <row r="61" customFormat="false" ht="15" hidden="false" customHeight="false" outlineLevel="0" collapsed="false">
      <c r="A61" s="2"/>
      <c r="B61" s="11"/>
      <c r="C61" s="2"/>
      <c r="D61" s="2"/>
      <c r="E61" s="2"/>
      <c r="F61" s="2"/>
      <c r="G61" s="2"/>
      <c r="H61" s="23"/>
      <c r="I61" s="23"/>
      <c r="J61" s="23" t="str">
        <f aca="false">IF(C61="","",IF(OR(C61="Purchase",C61="Fee",C61="Withdrawal"),-(H61+I61),H61-I61))</f>
        <v/>
      </c>
      <c r="K61" s="2"/>
      <c r="L61" s="2"/>
      <c r="M61" s="2"/>
    </row>
    <row r="62" customFormat="false" ht="15" hidden="false" customHeight="false" outlineLevel="0" collapsed="false">
      <c r="A62" s="2"/>
      <c r="B62" s="11"/>
      <c r="C62" s="2"/>
      <c r="D62" s="2"/>
      <c r="E62" s="2"/>
      <c r="F62" s="2"/>
      <c r="G62" s="2"/>
      <c r="H62" s="23"/>
      <c r="I62" s="23"/>
      <c r="J62" s="23" t="str">
        <f aca="false">IF(C62="","",IF(OR(C62="Purchase",C62="Fee",C62="Withdrawal"),-(H62+I62),H62-I62))</f>
        <v/>
      </c>
      <c r="K62" s="2"/>
      <c r="L62" s="2"/>
      <c r="M62" s="2"/>
    </row>
    <row r="63" customFormat="false" ht="15" hidden="false" customHeight="false" outlineLevel="0" collapsed="false">
      <c r="A63" s="2"/>
      <c r="B63" s="11"/>
      <c r="C63" s="2"/>
      <c r="D63" s="2"/>
      <c r="E63" s="2"/>
      <c r="F63" s="2"/>
      <c r="G63" s="2"/>
      <c r="H63" s="23"/>
      <c r="I63" s="23"/>
      <c r="J63" s="23" t="str">
        <f aca="false">IF(C63="","",IF(OR(C63="Purchase",C63="Fee",C63="Withdrawal"),-(H63+I63),H63-I63))</f>
        <v/>
      </c>
      <c r="K63" s="2"/>
      <c r="L63" s="2"/>
      <c r="M63" s="2"/>
    </row>
    <row r="64" customFormat="false" ht="15" hidden="false" customHeight="false" outlineLevel="0" collapsed="false">
      <c r="A64" s="2"/>
      <c r="B64" s="11"/>
      <c r="C64" s="2"/>
      <c r="D64" s="2"/>
      <c r="E64" s="2"/>
      <c r="F64" s="2"/>
      <c r="G64" s="2"/>
      <c r="H64" s="23"/>
      <c r="I64" s="23"/>
      <c r="J64" s="23" t="str">
        <f aca="false">IF(C64="","",IF(OR(C64="Purchase",C64="Fee",C64="Withdrawal"),-(H64+I64),H64-I64))</f>
        <v/>
      </c>
      <c r="K64" s="2"/>
      <c r="L64" s="2"/>
      <c r="M64" s="2"/>
    </row>
    <row r="65" customFormat="false" ht="15" hidden="false" customHeight="false" outlineLevel="0" collapsed="false">
      <c r="A65" s="2"/>
      <c r="B65" s="11"/>
      <c r="C65" s="2"/>
      <c r="D65" s="2"/>
      <c r="E65" s="2"/>
      <c r="F65" s="2"/>
      <c r="G65" s="2"/>
      <c r="H65" s="23"/>
      <c r="I65" s="23"/>
      <c r="J65" s="23" t="str">
        <f aca="false">IF(C65="","",IF(OR(C65="Purchase",C65="Fee",C65="Withdrawal"),-(H65+I65),H65-I65))</f>
        <v/>
      </c>
      <c r="K65" s="2"/>
      <c r="L65" s="2"/>
      <c r="M65" s="2"/>
    </row>
    <row r="66" customFormat="false" ht="15" hidden="false" customHeight="false" outlineLevel="0" collapsed="false">
      <c r="A66" s="2"/>
      <c r="B66" s="11"/>
      <c r="C66" s="2"/>
      <c r="D66" s="2"/>
      <c r="E66" s="2"/>
      <c r="F66" s="2"/>
      <c r="G66" s="2"/>
      <c r="H66" s="23"/>
      <c r="I66" s="23"/>
      <c r="J66" s="23" t="str">
        <f aca="false">IF(C66="","",IF(OR(C66="Purchase",C66="Fee",C66="Withdrawal"),-(H66+I66),H66-I66))</f>
        <v/>
      </c>
      <c r="K66" s="2"/>
      <c r="L66" s="2"/>
      <c r="M66" s="2"/>
    </row>
    <row r="67" customFormat="false" ht="15" hidden="false" customHeight="false" outlineLevel="0" collapsed="false">
      <c r="A67" s="2"/>
      <c r="B67" s="11"/>
      <c r="C67" s="2"/>
      <c r="D67" s="2"/>
      <c r="E67" s="2"/>
      <c r="F67" s="2"/>
      <c r="G67" s="2"/>
      <c r="H67" s="23"/>
      <c r="I67" s="23"/>
      <c r="J67" s="23" t="str">
        <f aca="false">IF(C67="","",IF(OR(C67="Purchase",C67="Fee",C67="Withdrawal"),-(H67+I67),H67-I67))</f>
        <v/>
      </c>
      <c r="K67" s="2"/>
      <c r="L67" s="2"/>
      <c r="M67" s="2"/>
    </row>
    <row r="68" customFormat="false" ht="15" hidden="false" customHeight="false" outlineLevel="0" collapsed="false">
      <c r="A68" s="2"/>
      <c r="B68" s="11"/>
      <c r="C68" s="2"/>
      <c r="D68" s="2"/>
      <c r="E68" s="2"/>
      <c r="F68" s="2"/>
      <c r="G68" s="2"/>
      <c r="H68" s="23"/>
      <c r="I68" s="23"/>
      <c r="J68" s="23" t="str">
        <f aca="false">IF(C68="","",IF(OR(C68="Purchase",C68="Fee",C68="Withdrawal"),-(H68+I68),H68-I68))</f>
        <v/>
      </c>
      <c r="K68" s="2"/>
      <c r="L68" s="2"/>
      <c r="M68" s="2"/>
    </row>
    <row r="69" customFormat="false" ht="15" hidden="false" customHeight="false" outlineLevel="0" collapsed="false">
      <c r="A69" s="2"/>
      <c r="B69" s="11"/>
      <c r="C69" s="2"/>
      <c r="D69" s="2"/>
      <c r="E69" s="2"/>
      <c r="F69" s="2"/>
      <c r="G69" s="2"/>
      <c r="H69" s="23"/>
      <c r="I69" s="23"/>
      <c r="J69" s="23" t="str">
        <f aca="false">IF(C69="","",IF(OR(C69="Purchase",C69="Fee",C69="Withdrawal"),-(H69+I69),H69-I69))</f>
        <v/>
      </c>
      <c r="K69" s="2"/>
      <c r="L69" s="2"/>
      <c r="M69" s="2"/>
    </row>
    <row r="70" customFormat="false" ht="15" hidden="false" customHeight="false" outlineLevel="0" collapsed="false">
      <c r="A70" s="2"/>
      <c r="B70" s="11"/>
      <c r="C70" s="2"/>
      <c r="D70" s="2"/>
      <c r="E70" s="2"/>
      <c r="F70" s="2"/>
      <c r="G70" s="2"/>
      <c r="H70" s="23"/>
      <c r="I70" s="23"/>
      <c r="J70" s="23" t="str">
        <f aca="false">IF(C70="","",IF(OR(C70="Purchase",C70="Fee",C70="Withdrawal"),-(H70+I70),H70-I70))</f>
        <v/>
      </c>
      <c r="K70" s="2"/>
      <c r="L70" s="2"/>
      <c r="M70" s="2"/>
    </row>
    <row r="71" customFormat="false" ht="15" hidden="false" customHeight="false" outlineLevel="0" collapsed="false">
      <c r="A71" s="2"/>
      <c r="B71" s="11"/>
      <c r="C71" s="2"/>
      <c r="D71" s="2"/>
      <c r="E71" s="2"/>
      <c r="F71" s="2"/>
      <c r="G71" s="2"/>
      <c r="H71" s="23"/>
      <c r="I71" s="23"/>
      <c r="J71" s="23" t="str">
        <f aca="false">IF(C71="","",IF(OR(C71="Purchase",C71="Fee",C71="Withdrawal"),-(H71+I71),H71-I71))</f>
        <v/>
      </c>
      <c r="K71" s="2"/>
      <c r="L71" s="2"/>
      <c r="M71" s="2"/>
    </row>
    <row r="72" customFormat="false" ht="15" hidden="false" customHeight="false" outlineLevel="0" collapsed="false">
      <c r="A72" s="2"/>
      <c r="B72" s="11"/>
      <c r="C72" s="2"/>
      <c r="D72" s="2"/>
      <c r="E72" s="2"/>
      <c r="F72" s="2"/>
      <c r="G72" s="2"/>
      <c r="H72" s="23"/>
      <c r="I72" s="23"/>
      <c r="J72" s="23" t="str">
        <f aca="false">IF(C72="","",IF(OR(C72="Purchase",C72="Fee",C72="Withdrawal"),-(H72+I72),H72-I72))</f>
        <v/>
      </c>
      <c r="K72" s="2"/>
      <c r="L72" s="2"/>
      <c r="M72" s="2"/>
    </row>
    <row r="73" customFormat="false" ht="15" hidden="false" customHeight="false" outlineLevel="0" collapsed="false">
      <c r="A73" s="2"/>
      <c r="B73" s="11"/>
      <c r="C73" s="2"/>
      <c r="D73" s="2"/>
      <c r="E73" s="2"/>
      <c r="F73" s="2"/>
      <c r="G73" s="2"/>
      <c r="H73" s="23"/>
      <c r="I73" s="23"/>
      <c r="J73" s="23" t="str">
        <f aca="false">IF(C73="","",IF(OR(C73="Purchase",C73="Fee",C73="Withdrawal"),-(H73+I73),H73-I73))</f>
        <v/>
      </c>
      <c r="K73" s="2"/>
      <c r="L73" s="2"/>
      <c r="M73" s="2"/>
    </row>
    <row r="74" customFormat="false" ht="15" hidden="false" customHeight="false" outlineLevel="0" collapsed="false">
      <c r="A74" s="2"/>
      <c r="B74" s="11"/>
      <c r="C74" s="2"/>
      <c r="D74" s="2"/>
      <c r="E74" s="2"/>
      <c r="F74" s="2"/>
      <c r="G74" s="2"/>
      <c r="H74" s="23"/>
      <c r="I74" s="23"/>
      <c r="J74" s="23" t="str">
        <f aca="false">IF(C74="","",IF(OR(C74="Purchase",C74="Fee",C74="Withdrawal"),-(H74+I74),H74-I74))</f>
        <v/>
      </c>
      <c r="K74" s="2"/>
      <c r="L74" s="2"/>
      <c r="M74" s="2"/>
    </row>
    <row r="75" customFormat="false" ht="15" hidden="false" customHeight="false" outlineLevel="0" collapsed="false">
      <c r="A75" s="2"/>
      <c r="B75" s="11"/>
      <c r="C75" s="2"/>
      <c r="D75" s="2"/>
      <c r="E75" s="2"/>
      <c r="F75" s="2"/>
      <c r="G75" s="2"/>
      <c r="H75" s="23"/>
      <c r="I75" s="23"/>
      <c r="J75" s="23" t="str">
        <f aca="false">IF(C75="","",IF(OR(C75="Purchase",C75="Fee",C75="Withdrawal"),-(H75+I75),H75-I75))</f>
        <v/>
      </c>
      <c r="K75" s="2"/>
      <c r="L75" s="2"/>
      <c r="M75" s="2"/>
    </row>
    <row r="76" customFormat="false" ht="15" hidden="false" customHeight="false" outlineLevel="0" collapsed="false">
      <c r="A76" s="2"/>
      <c r="B76" s="11"/>
      <c r="C76" s="2"/>
      <c r="D76" s="2"/>
      <c r="E76" s="2"/>
      <c r="F76" s="2"/>
      <c r="G76" s="2"/>
      <c r="H76" s="23"/>
      <c r="I76" s="23"/>
      <c r="J76" s="23" t="str">
        <f aca="false">IF(C76="","",IF(OR(C76="Purchase",C76="Fee",C76="Withdrawal"),-(H76+I76),H76-I76))</f>
        <v/>
      </c>
      <c r="K76" s="2"/>
      <c r="L76" s="2"/>
      <c r="M76" s="2"/>
    </row>
    <row r="77" customFormat="false" ht="15" hidden="false" customHeight="false" outlineLevel="0" collapsed="false">
      <c r="A77" s="2"/>
      <c r="B77" s="11"/>
      <c r="C77" s="2"/>
      <c r="D77" s="2"/>
      <c r="E77" s="2"/>
      <c r="F77" s="2"/>
      <c r="G77" s="2"/>
      <c r="H77" s="23"/>
      <c r="I77" s="23"/>
      <c r="J77" s="23" t="str">
        <f aca="false">IF(C77="","",IF(OR(C77="Purchase",C77="Fee",C77="Withdrawal"),-(H77+I77),H77-I77))</f>
        <v/>
      </c>
      <c r="K77" s="2"/>
      <c r="L77" s="2"/>
      <c r="M77" s="2"/>
    </row>
    <row r="78" customFormat="false" ht="15" hidden="false" customHeight="false" outlineLevel="0" collapsed="false">
      <c r="A78" s="2"/>
      <c r="B78" s="11"/>
      <c r="C78" s="2"/>
      <c r="D78" s="2"/>
      <c r="E78" s="2"/>
      <c r="F78" s="2"/>
      <c r="G78" s="2"/>
      <c r="H78" s="23"/>
      <c r="I78" s="23"/>
      <c r="J78" s="23" t="str">
        <f aca="false">IF(C78="","",IF(OR(C78="Purchase",C78="Fee",C78="Withdrawal"),-(H78+I78),H78-I78))</f>
        <v/>
      </c>
      <c r="K78" s="2"/>
      <c r="L78" s="2"/>
      <c r="M78" s="2"/>
    </row>
    <row r="79" customFormat="false" ht="15" hidden="false" customHeight="false" outlineLevel="0" collapsed="false">
      <c r="A79" s="2"/>
      <c r="B79" s="11"/>
      <c r="C79" s="2"/>
      <c r="D79" s="2"/>
      <c r="E79" s="2"/>
      <c r="F79" s="2"/>
      <c r="G79" s="2"/>
      <c r="H79" s="23"/>
      <c r="I79" s="23"/>
      <c r="J79" s="23" t="str">
        <f aca="false">IF(C79="","",IF(OR(C79="Purchase",C79="Fee",C79="Withdrawal"),-(H79+I79),H79-I79))</f>
        <v/>
      </c>
      <c r="K79" s="2"/>
      <c r="L79" s="2"/>
      <c r="M79" s="2"/>
    </row>
    <row r="80" customFormat="false" ht="15" hidden="false" customHeight="false" outlineLevel="0" collapsed="false">
      <c r="A80" s="2"/>
      <c r="B80" s="11"/>
      <c r="C80" s="2"/>
      <c r="D80" s="2"/>
      <c r="E80" s="2"/>
      <c r="F80" s="2"/>
      <c r="G80" s="2"/>
      <c r="H80" s="23"/>
      <c r="I80" s="23"/>
      <c r="J80" s="23" t="str">
        <f aca="false">IF(C80="","",IF(OR(C80="Purchase",C80="Fee",C80="Withdrawal"),-(H80+I80),H80-I80))</f>
        <v/>
      </c>
      <c r="K80" s="2"/>
      <c r="L80" s="2"/>
      <c r="M80" s="2"/>
    </row>
    <row r="81" customFormat="false" ht="15" hidden="false" customHeight="false" outlineLevel="0" collapsed="false">
      <c r="A81" s="2"/>
      <c r="B81" s="11"/>
      <c r="C81" s="2"/>
      <c r="D81" s="2"/>
      <c r="E81" s="2"/>
      <c r="F81" s="2"/>
      <c r="G81" s="2"/>
      <c r="H81" s="23"/>
      <c r="I81" s="23"/>
      <c r="J81" s="23" t="str">
        <f aca="false">IF(C81="","",IF(OR(C81="Purchase",C81="Fee",C81="Withdrawal"),-(H81+I81),H81-I81))</f>
        <v/>
      </c>
      <c r="K81" s="2"/>
      <c r="L81" s="2"/>
      <c r="M81" s="2"/>
    </row>
    <row r="82" customFormat="false" ht="15" hidden="false" customHeight="false" outlineLevel="0" collapsed="false">
      <c r="A82" s="2"/>
      <c r="B82" s="11"/>
      <c r="C82" s="2"/>
      <c r="D82" s="2"/>
      <c r="E82" s="2"/>
      <c r="F82" s="2"/>
      <c r="G82" s="2"/>
      <c r="H82" s="23"/>
      <c r="I82" s="23"/>
      <c r="J82" s="23" t="str">
        <f aca="false">IF(C82="","",IF(OR(C82="Purchase",C82="Fee",C82="Withdrawal"),-(H82+I82),H82-I82))</f>
        <v/>
      </c>
      <c r="K82" s="2"/>
      <c r="L82" s="2"/>
      <c r="M82" s="2"/>
    </row>
    <row r="83" customFormat="false" ht="15" hidden="false" customHeight="false" outlineLevel="0" collapsed="false">
      <c r="A83" s="2"/>
      <c r="B83" s="11"/>
      <c r="C83" s="2"/>
      <c r="D83" s="2"/>
      <c r="E83" s="2"/>
      <c r="F83" s="2"/>
      <c r="G83" s="2"/>
      <c r="H83" s="23"/>
      <c r="I83" s="23"/>
      <c r="J83" s="23" t="str">
        <f aca="false">IF(C83="","",IF(OR(C83="Purchase",C83="Fee",C83="Withdrawal"),-(H83+I83),H83-I83))</f>
        <v/>
      </c>
      <c r="K83" s="2"/>
      <c r="L83" s="2"/>
      <c r="M83" s="2"/>
    </row>
    <row r="84" customFormat="false" ht="15" hidden="false" customHeight="false" outlineLevel="0" collapsed="false">
      <c r="A84" s="2"/>
      <c r="B84" s="11"/>
      <c r="C84" s="2"/>
      <c r="D84" s="2"/>
      <c r="E84" s="2"/>
      <c r="F84" s="2"/>
      <c r="G84" s="2"/>
      <c r="H84" s="23"/>
      <c r="I84" s="23"/>
      <c r="J84" s="23" t="str">
        <f aca="false">IF(C84="","",IF(OR(C84="Purchase",C84="Fee",C84="Withdrawal"),-(H84+I84),H84-I84))</f>
        <v/>
      </c>
      <c r="K84" s="2"/>
      <c r="L84" s="2"/>
      <c r="M84" s="2"/>
    </row>
    <row r="85" customFormat="false" ht="15" hidden="false" customHeight="false" outlineLevel="0" collapsed="false">
      <c r="A85" s="2"/>
      <c r="B85" s="11"/>
      <c r="C85" s="2"/>
      <c r="D85" s="2"/>
      <c r="E85" s="2"/>
      <c r="F85" s="2"/>
      <c r="G85" s="2"/>
      <c r="H85" s="23"/>
      <c r="I85" s="23"/>
      <c r="J85" s="23" t="str">
        <f aca="false">IF(C85="","",IF(OR(C85="Purchase",C85="Fee",C85="Withdrawal"),-(H85+I85),H85-I85))</f>
        <v/>
      </c>
      <c r="K85" s="2"/>
      <c r="L85" s="2"/>
      <c r="M85" s="2"/>
    </row>
    <row r="86" customFormat="false" ht="15" hidden="false" customHeight="false" outlineLevel="0" collapsed="false">
      <c r="A86" s="2"/>
      <c r="B86" s="11"/>
      <c r="C86" s="2"/>
      <c r="D86" s="2"/>
      <c r="E86" s="2"/>
      <c r="F86" s="2"/>
      <c r="G86" s="2"/>
      <c r="H86" s="23"/>
      <c r="I86" s="23"/>
      <c r="J86" s="23" t="str">
        <f aca="false">IF(C86="","",IF(OR(C86="Purchase",C86="Fee",C86="Withdrawal"),-(H86+I86),H86-I86))</f>
        <v/>
      </c>
      <c r="K86" s="2"/>
      <c r="L86" s="2"/>
      <c r="M86" s="2"/>
    </row>
    <row r="87" customFormat="false" ht="15" hidden="false" customHeight="false" outlineLevel="0" collapsed="false">
      <c r="A87" s="2"/>
      <c r="B87" s="11"/>
      <c r="C87" s="2"/>
      <c r="D87" s="2"/>
      <c r="E87" s="2"/>
      <c r="F87" s="2"/>
      <c r="G87" s="2"/>
      <c r="H87" s="23"/>
      <c r="I87" s="23"/>
      <c r="J87" s="23" t="str">
        <f aca="false">IF(C87="","",IF(OR(C87="Purchase",C87="Fee",C87="Withdrawal"),-(H87+I87),H87-I87))</f>
        <v/>
      </c>
      <c r="K87" s="2"/>
      <c r="L87" s="2"/>
      <c r="M87" s="2"/>
    </row>
    <row r="88" customFormat="false" ht="15" hidden="false" customHeight="false" outlineLevel="0" collapsed="false">
      <c r="A88" s="2"/>
      <c r="B88" s="11"/>
      <c r="C88" s="2"/>
      <c r="D88" s="2"/>
      <c r="E88" s="2"/>
      <c r="F88" s="2"/>
      <c r="G88" s="2"/>
      <c r="H88" s="23"/>
      <c r="I88" s="23"/>
      <c r="J88" s="23" t="str">
        <f aca="false">IF(C88="","",IF(OR(C88="Purchase",C88="Fee",C88="Withdrawal"),-(H88+I88),H88-I88))</f>
        <v/>
      </c>
      <c r="K88" s="2"/>
      <c r="L88" s="2"/>
      <c r="M88" s="2"/>
    </row>
    <row r="89" customFormat="false" ht="15" hidden="false" customHeight="false" outlineLevel="0" collapsed="false">
      <c r="A89" s="2"/>
      <c r="B89" s="11"/>
      <c r="C89" s="2"/>
      <c r="D89" s="2"/>
      <c r="E89" s="2"/>
      <c r="F89" s="2"/>
      <c r="G89" s="2"/>
      <c r="H89" s="23"/>
      <c r="I89" s="23"/>
      <c r="J89" s="23" t="str">
        <f aca="false">IF(C89="","",IF(OR(C89="Purchase",C89="Fee",C89="Withdrawal"),-(H89+I89),H89-I89))</f>
        <v/>
      </c>
      <c r="K89" s="2"/>
      <c r="L89" s="2"/>
      <c r="M89" s="2"/>
    </row>
    <row r="90" customFormat="false" ht="15" hidden="false" customHeight="false" outlineLevel="0" collapsed="false">
      <c r="A90" s="2"/>
      <c r="B90" s="11"/>
      <c r="C90" s="2"/>
      <c r="D90" s="2"/>
      <c r="E90" s="2"/>
      <c r="F90" s="2"/>
      <c r="G90" s="2"/>
      <c r="H90" s="23"/>
      <c r="I90" s="23"/>
      <c r="J90" s="23" t="str">
        <f aca="false">IF(C90="","",IF(OR(C90="Purchase",C90="Fee",C90="Withdrawal"),-(H90+I90),H90-I90))</f>
        <v/>
      </c>
      <c r="K90" s="2"/>
      <c r="L90" s="2"/>
      <c r="M90" s="2"/>
    </row>
    <row r="91" customFormat="false" ht="15" hidden="false" customHeight="false" outlineLevel="0" collapsed="false">
      <c r="A91" s="2"/>
      <c r="B91" s="11"/>
      <c r="C91" s="2"/>
      <c r="D91" s="2"/>
      <c r="E91" s="2"/>
      <c r="F91" s="2"/>
      <c r="G91" s="2"/>
      <c r="H91" s="23"/>
      <c r="I91" s="23"/>
      <c r="J91" s="23" t="str">
        <f aca="false">IF(C91="","",IF(OR(C91="Purchase",C91="Fee",C91="Withdrawal"),-(H91+I91),H91-I91))</f>
        <v/>
      </c>
      <c r="K91" s="2"/>
      <c r="L91" s="2"/>
      <c r="M91" s="2"/>
    </row>
    <row r="92" customFormat="false" ht="15" hidden="false" customHeight="false" outlineLevel="0" collapsed="false">
      <c r="A92" s="2"/>
      <c r="B92" s="11"/>
      <c r="C92" s="2"/>
      <c r="D92" s="2"/>
      <c r="E92" s="2"/>
      <c r="F92" s="2"/>
      <c r="G92" s="2"/>
      <c r="H92" s="23"/>
      <c r="I92" s="23"/>
      <c r="J92" s="23" t="str">
        <f aca="false">IF(C92="","",IF(OR(C92="Purchase",C92="Fee",C92="Withdrawal"),-(H92+I92),H92-I92))</f>
        <v/>
      </c>
      <c r="K92" s="2"/>
      <c r="L92" s="2"/>
      <c r="M92" s="2"/>
    </row>
    <row r="93" customFormat="false" ht="15" hidden="false" customHeight="false" outlineLevel="0" collapsed="false">
      <c r="A93" s="2"/>
      <c r="B93" s="11"/>
      <c r="C93" s="2"/>
      <c r="D93" s="2"/>
      <c r="E93" s="2"/>
      <c r="F93" s="2"/>
      <c r="G93" s="2"/>
      <c r="H93" s="23"/>
      <c r="I93" s="23"/>
      <c r="J93" s="23" t="str">
        <f aca="false">IF(C93="","",IF(OR(C93="Purchase",C93="Fee",C93="Withdrawal"),-(H93+I93),H93-I93))</f>
        <v/>
      </c>
      <c r="K93" s="2"/>
      <c r="L93" s="2"/>
      <c r="M93" s="2"/>
    </row>
    <row r="94" customFormat="false" ht="15" hidden="false" customHeight="false" outlineLevel="0" collapsed="false">
      <c r="A94" s="2"/>
      <c r="B94" s="11"/>
      <c r="C94" s="2"/>
      <c r="D94" s="2"/>
      <c r="E94" s="2"/>
      <c r="F94" s="2"/>
      <c r="G94" s="2"/>
      <c r="H94" s="23"/>
      <c r="I94" s="23"/>
      <c r="J94" s="23" t="str">
        <f aca="false">IF(C94="","",IF(OR(C94="Purchase",C94="Fee",C94="Withdrawal"),-(H94+I94),H94-I94))</f>
        <v/>
      </c>
      <c r="K94" s="2"/>
      <c r="L94" s="2"/>
      <c r="M94" s="2"/>
    </row>
    <row r="95" customFormat="false" ht="15" hidden="false" customHeight="false" outlineLevel="0" collapsed="false">
      <c r="A95" s="2"/>
      <c r="B95" s="11"/>
      <c r="C95" s="2"/>
      <c r="D95" s="2"/>
      <c r="E95" s="2"/>
      <c r="F95" s="2"/>
      <c r="G95" s="2"/>
      <c r="H95" s="23"/>
      <c r="I95" s="23"/>
      <c r="J95" s="23" t="str">
        <f aca="false">IF(C95="","",IF(OR(C95="Purchase",C95="Fee",C95="Withdrawal"),-(H95+I95),H95-I95))</f>
        <v/>
      </c>
      <c r="K95" s="2"/>
      <c r="L95" s="2"/>
      <c r="M95" s="2"/>
    </row>
    <row r="96" customFormat="false" ht="15" hidden="false" customHeight="false" outlineLevel="0" collapsed="false">
      <c r="A96" s="2"/>
      <c r="B96" s="11"/>
      <c r="C96" s="2"/>
      <c r="D96" s="2"/>
      <c r="E96" s="2"/>
      <c r="F96" s="2"/>
      <c r="G96" s="2"/>
      <c r="H96" s="23"/>
      <c r="I96" s="23"/>
      <c r="J96" s="23" t="str">
        <f aca="false">IF(C96="","",IF(OR(C96="Purchase",C96="Fee",C96="Withdrawal"),-(H96+I96),H96-I96))</f>
        <v/>
      </c>
      <c r="K96" s="2"/>
      <c r="L96" s="2"/>
      <c r="M96" s="2"/>
    </row>
    <row r="97" customFormat="false" ht="15" hidden="false" customHeight="false" outlineLevel="0" collapsed="false">
      <c r="A97" s="2"/>
      <c r="B97" s="11"/>
      <c r="C97" s="2"/>
      <c r="D97" s="2"/>
      <c r="E97" s="2"/>
      <c r="F97" s="2"/>
      <c r="G97" s="2"/>
      <c r="H97" s="23"/>
      <c r="I97" s="23"/>
      <c r="J97" s="23" t="str">
        <f aca="false">IF(C97="","",IF(OR(C97="Purchase",C97="Fee",C97="Withdrawal"),-(H97+I97),H97-I97))</f>
        <v/>
      </c>
      <c r="K97" s="2"/>
      <c r="L97" s="2"/>
      <c r="M97" s="2"/>
    </row>
    <row r="98" customFormat="false" ht="15" hidden="false" customHeight="false" outlineLevel="0" collapsed="false">
      <c r="A98" s="2"/>
      <c r="B98" s="11"/>
      <c r="C98" s="2"/>
      <c r="D98" s="2"/>
      <c r="E98" s="2"/>
      <c r="F98" s="2"/>
      <c r="G98" s="2"/>
      <c r="H98" s="23"/>
      <c r="I98" s="23"/>
      <c r="J98" s="23" t="str">
        <f aca="false">IF(C98="","",IF(OR(C98="Purchase",C98="Fee",C98="Withdrawal"),-(H98+I98),H98-I98))</f>
        <v/>
      </c>
      <c r="K98" s="2"/>
      <c r="L98" s="2"/>
      <c r="M98" s="2"/>
    </row>
    <row r="99" customFormat="false" ht="15" hidden="false" customHeight="false" outlineLevel="0" collapsed="false">
      <c r="A99" s="2"/>
      <c r="B99" s="11"/>
      <c r="C99" s="2"/>
      <c r="D99" s="2"/>
      <c r="E99" s="2"/>
      <c r="F99" s="2"/>
      <c r="G99" s="2"/>
      <c r="H99" s="23"/>
      <c r="I99" s="23"/>
      <c r="J99" s="23" t="str">
        <f aca="false">IF(C99="","",IF(OR(C99="Purchase",C99="Fee",C99="Withdrawal"),-(H99+I99),H99-I99))</f>
        <v/>
      </c>
      <c r="K99" s="2"/>
      <c r="L99" s="2"/>
      <c r="M99" s="2"/>
    </row>
    <row r="100" customFormat="false" ht="15" hidden="false" customHeight="false" outlineLevel="0" collapsed="false">
      <c r="A100" s="2"/>
      <c r="B100" s="11"/>
      <c r="C100" s="2"/>
      <c r="D100" s="2"/>
      <c r="E100" s="2"/>
      <c r="F100" s="2"/>
      <c r="G100" s="2"/>
      <c r="H100" s="23"/>
      <c r="I100" s="23"/>
      <c r="J100" s="23" t="str">
        <f aca="false">IF(C100="","",IF(OR(C100="Purchase",C100="Fee",C100="Withdrawal"),-(H100+I100),H100-I100))</f>
        <v/>
      </c>
      <c r="K100" s="2"/>
      <c r="L100" s="2"/>
      <c r="M100" s="2"/>
    </row>
    <row r="101" customFormat="false" ht="15" hidden="false" customHeight="false" outlineLevel="0" collapsed="false">
      <c r="A101" s="2"/>
      <c r="B101" s="11"/>
      <c r="C101" s="2"/>
      <c r="D101" s="2"/>
      <c r="E101" s="2"/>
      <c r="F101" s="2"/>
      <c r="G101" s="2"/>
      <c r="H101" s="23"/>
      <c r="I101" s="23"/>
      <c r="J101" s="23" t="str">
        <f aca="false">IF(C101="","",IF(OR(C101="Purchase",C101="Fee",C101="Withdrawal"),-(H101+I101),H101-I101))</f>
        <v/>
      </c>
      <c r="K101" s="2"/>
      <c r="L101" s="2"/>
      <c r="M101" s="2"/>
    </row>
    <row r="102" customFormat="false" ht="15" hidden="false" customHeight="false" outlineLevel="0" collapsed="false">
      <c r="A102" s="2"/>
      <c r="B102" s="11"/>
      <c r="C102" s="2"/>
      <c r="D102" s="2"/>
      <c r="E102" s="2"/>
      <c r="F102" s="2"/>
      <c r="G102" s="2"/>
      <c r="H102" s="23"/>
      <c r="I102" s="23"/>
      <c r="J102" s="23" t="str">
        <f aca="false">IF(C102="","",IF(OR(C102="Purchase",C102="Fee",C102="Withdrawal"),-(H102+I102),H102-I102))</f>
        <v/>
      </c>
      <c r="K102" s="2"/>
      <c r="L102" s="2"/>
      <c r="M102" s="2"/>
    </row>
    <row r="103" customFormat="false" ht="15" hidden="false" customHeight="false" outlineLevel="0" collapsed="false">
      <c r="A103" s="2"/>
      <c r="B103" s="11"/>
      <c r="C103" s="2"/>
      <c r="D103" s="2"/>
      <c r="E103" s="2"/>
      <c r="F103" s="2"/>
      <c r="G103" s="2"/>
      <c r="H103" s="23"/>
      <c r="I103" s="23"/>
      <c r="J103" s="23" t="str">
        <f aca="false">IF(C103="","",IF(OR(C103="Purchase",C103="Fee",C103="Withdrawal"),-(H103+I103),H103-I103))</f>
        <v/>
      </c>
      <c r="K103" s="2"/>
      <c r="L103" s="2"/>
      <c r="M103" s="2"/>
    </row>
    <row r="104" customFormat="false" ht="15" hidden="false" customHeight="false" outlineLevel="0" collapsed="false">
      <c r="A104" s="2"/>
      <c r="B104" s="11"/>
      <c r="C104" s="2"/>
      <c r="D104" s="2"/>
      <c r="E104" s="2"/>
      <c r="F104" s="2"/>
      <c r="G104" s="2"/>
      <c r="H104" s="23"/>
      <c r="I104" s="23"/>
      <c r="J104" s="23" t="str">
        <f aca="false">IF(C104="","",IF(OR(C104="Purchase",C104="Fee",C104="Withdrawal"),-(H104+I104),H104-I104))</f>
        <v/>
      </c>
      <c r="K104" s="2"/>
      <c r="L104" s="2"/>
      <c r="M104" s="2"/>
    </row>
    <row r="105" customFormat="false" ht="15" hidden="false" customHeight="false" outlineLevel="0" collapsed="false">
      <c r="A105" s="2"/>
      <c r="B105" s="11"/>
      <c r="C105" s="2"/>
      <c r="D105" s="2"/>
      <c r="E105" s="2"/>
      <c r="F105" s="2"/>
      <c r="G105" s="2"/>
      <c r="H105" s="23"/>
      <c r="I105" s="23"/>
      <c r="J105" s="23" t="str">
        <f aca="false">IF(C105="","",IF(OR(C105="Purchase",C105="Fee",C105="Withdrawal"),-(H105+I105),H105-I105))</f>
        <v/>
      </c>
      <c r="K105" s="2"/>
      <c r="L105" s="2"/>
      <c r="M105" s="2"/>
    </row>
    <row r="106" customFormat="false" ht="15" hidden="false" customHeight="false" outlineLevel="0" collapsed="false">
      <c r="A106" s="2"/>
      <c r="B106" s="11"/>
      <c r="C106" s="2"/>
      <c r="D106" s="2"/>
      <c r="E106" s="2"/>
      <c r="F106" s="2"/>
      <c r="G106" s="2"/>
      <c r="H106" s="23"/>
      <c r="I106" s="23"/>
      <c r="J106" s="23" t="str">
        <f aca="false">IF(C106="","",IF(OR(C106="Purchase",C106="Fee",C106="Withdrawal"),-(H106+I106),H106-I106))</f>
        <v/>
      </c>
      <c r="K106" s="2"/>
      <c r="L106" s="2"/>
      <c r="M106" s="2"/>
    </row>
    <row r="107" customFormat="false" ht="15" hidden="false" customHeight="false" outlineLevel="0" collapsed="false">
      <c r="A107" s="2"/>
      <c r="B107" s="11"/>
      <c r="C107" s="2"/>
      <c r="D107" s="2"/>
      <c r="E107" s="2"/>
      <c r="F107" s="2"/>
      <c r="G107" s="2"/>
      <c r="H107" s="23"/>
      <c r="I107" s="23"/>
      <c r="J107" s="23" t="str">
        <f aca="false">IF(C107="","",IF(OR(C107="Purchase",C107="Fee",C107="Withdrawal"),-(H107+I107),H107-I107))</f>
        <v/>
      </c>
      <c r="K107" s="2"/>
      <c r="L107" s="2"/>
      <c r="M107" s="2"/>
    </row>
    <row r="108" customFormat="false" ht="15" hidden="false" customHeight="false" outlineLevel="0" collapsed="false">
      <c r="A108" s="2"/>
      <c r="B108" s="11"/>
      <c r="C108" s="2"/>
      <c r="D108" s="2"/>
      <c r="E108" s="2"/>
      <c r="F108" s="2"/>
      <c r="G108" s="2"/>
      <c r="H108" s="23"/>
      <c r="I108" s="23"/>
      <c r="J108" s="23" t="str">
        <f aca="false">IF(C108="","",IF(OR(C108="Purchase",C108="Fee",C108="Withdrawal"),-(H108+I108),H108-I108))</f>
        <v/>
      </c>
      <c r="K108" s="2"/>
      <c r="L108" s="2"/>
      <c r="M108" s="2"/>
    </row>
    <row r="109" customFormat="false" ht="15" hidden="false" customHeight="false" outlineLevel="0" collapsed="false">
      <c r="A109" s="2"/>
      <c r="B109" s="11"/>
      <c r="C109" s="2"/>
      <c r="D109" s="2"/>
      <c r="E109" s="2"/>
      <c r="F109" s="2"/>
      <c r="G109" s="2"/>
      <c r="H109" s="23"/>
      <c r="I109" s="23"/>
      <c r="J109" s="23" t="str">
        <f aca="false">IF(C109="","",IF(OR(C109="Purchase",C109="Fee",C109="Withdrawal"),-(H109+I109),H109-I109))</f>
        <v/>
      </c>
      <c r="K109" s="2"/>
      <c r="L109" s="2"/>
      <c r="M109" s="2"/>
    </row>
    <row r="110" customFormat="false" ht="15" hidden="false" customHeight="false" outlineLevel="0" collapsed="false">
      <c r="A110" s="2"/>
      <c r="B110" s="11"/>
      <c r="C110" s="2"/>
      <c r="D110" s="2"/>
      <c r="E110" s="2"/>
      <c r="F110" s="2"/>
      <c r="G110" s="2"/>
      <c r="H110" s="23"/>
      <c r="I110" s="23"/>
      <c r="J110" s="23" t="str">
        <f aca="false">IF(C110="","",IF(OR(C110="Purchase",C110="Fee",C110="Withdrawal"),-(H110+I110),H110-I110))</f>
        <v/>
      </c>
      <c r="K110" s="2"/>
      <c r="L110" s="2"/>
      <c r="M110" s="2"/>
    </row>
    <row r="111" customFormat="false" ht="15" hidden="false" customHeight="false" outlineLevel="0" collapsed="false">
      <c r="A111" s="2"/>
      <c r="B111" s="11"/>
      <c r="C111" s="2"/>
      <c r="D111" s="2"/>
      <c r="E111" s="2"/>
      <c r="F111" s="2"/>
      <c r="G111" s="2"/>
      <c r="H111" s="23"/>
      <c r="I111" s="23"/>
      <c r="J111" s="23" t="str">
        <f aca="false">IF(C111="","",IF(OR(C111="Purchase",C111="Fee",C111="Withdrawal"),-(H111+I111),H111-I111))</f>
        <v/>
      </c>
      <c r="K111" s="2"/>
      <c r="L111" s="2"/>
      <c r="M111" s="2"/>
    </row>
    <row r="112" customFormat="false" ht="15" hidden="false" customHeight="false" outlineLevel="0" collapsed="false">
      <c r="A112" s="2"/>
      <c r="B112" s="11"/>
      <c r="C112" s="2"/>
      <c r="D112" s="2"/>
      <c r="E112" s="2"/>
      <c r="F112" s="2"/>
      <c r="G112" s="2"/>
      <c r="H112" s="23"/>
      <c r="I112" s="23"/>
      <c r="J112" s="23" t="str">
        <f aca="false">IF(C112="","",IF(OR(C112="Purchase",C112="Fee",C112="Withdrawal"),-(H112+I112),H112-I112))</f>
        <v/>
      </c>
      <c r="K112" s="2"/>
      <c r="L112" s="2"/>
      <c r="M112" s="2"/>
    </row>
    <row r="113" customFormat="false" ht="15" hidden="false" customHeight="false" outlineLevel="0" collapsed="false">
      <c r="A113" s="2"/>
      <c r="B113" s="11"/>
      <c r="C113" s="2"/>
      <c r="D113" s="2"/>
      <c r="E113" s="2"/>
      <c r="F113" s="2"/>
      <c r="G113" s="2"/>
      <c r="H113" s="23"/>
      <c r="I113" s="23"/>
      <c r="J113" s="23" t="str">
        <f aca="false">IF(C113="","",IF(OR(C113="Purchase",C113="Fee",C113="Withdrawal"),-(H113+I113),H113-I113))</f>
        <v/>
      </c>
      <c r="K113" s="2"/>
      <c r="L113" s="2"/>
      <c r="M113" s="2"/>
    </row>
    <row r="114" customFormat="false" ht="15" hidden="false" customHeight="false" outlineLevel="0" collapsed="false">
      <c r="A114" s="2"/>
      <c r="B114" s="11"/>
      <c r="C114" s="2"/>
      <c r="D114" s="2"/>
      <c r="E114" s="2"/>
      <c r="F114" s="2"/>
      <c r="G114" s="2"/>
      <c r="H114" s="23"/>
      <c r="I114" s="23"/>
      <c r="J114" s="23" t="str">
        <f aca="false">IF(C114="","",IF(OR(C114="Purchase",C114="Fee",C114="Withdrawal"),-(H114+I114),H114-I114))</f>
        <v/>
      </c>
      <c r="K114" s="2"/>
      <c r="L114" s="2"/>
      <c r="M114" s="2"/>
    </row>
    <row r="115" customFormat="false" ht="15" hidden="false" customHeight="false" outlineLevel="0" collapsed="false">
      <c r="A115" s="2"/>
      <c r="B115" s="11"/>
      <c r="C115" s="2"/>
      <c r="D115" s="2"/>
      <c r="E115" s="2"/>
      <c r="F115" s="2"/>
      <c r="G115" s="2"/>
      <c r="H115" s="23"/>
      <c r="I115" s="23"/>
      <c r="J115" s="23" t="str">
        <f aca="false">IF(C115="","",IF(OR(C115="Purchase",C115="Fee",C115="Withdrawal"),-(H115+I115),H115-I115))</f>
        <v/>
      </c>
      <c r="K115" s="2"/>
      <c r="L115" s="2"/>
      <c r="M115" s="2"/>
    </row>
    <row r="116" customFormat="false" ht="15" hidden="false" customHeight="false" outlineLevel="0" collapsed="false">
      <c r="A116" s="2"/>
      <c r="B116" s="11"/>
      <c r="C116" s="2"/>
      <c r="D116" s="2"/>
      <c r="E116" s="2"/>
      <c r="F116" s="2"/>
      <c r="G116" s="2"/>
      <c r="H116" s="23"/>
      <c r="I116" s="23"/>
      <c r="J116" s="23" t="str">
        <f aca="false">IF(C116="","",IF(OR(C116="Purchase",C116="Fee",C116="Withdrawal"),-(H116+I116),H116-I116))</f>
        <v/>
      </c>
      <c r="K116" s="2"/>
      <c r="L116" s="2"/>
      <c r="M116" s="2"/>
    </row>
    <row r="117" customFormat="false" ht="15" hidden="false" customHeight="false" outlineLevel="0" collapsed="false">
      <c r="A117" s="2"/>
      <c r="B117" s="11"/>
      <c r="C117" s="2"/>
      <c r="D117" s="2"/>
      <c r="E117" s="2"/>
      <c r="F117" s="2"/>
      <c r="G117" s="2"/>
      <c r="H117" s="23"/>
      <c r="I117" s="23"/>
      <c r="J117" s="23" t="str">
        <f aca="false">IF(C117="","",IF(OR(C117="Purchase",C117="Fee",C117="Withdrawal"),-(H117+I117),H117-I117))</f>
        <v/>
      </c>
      <c r="K117" s="2"/>
      <c r="L117" s="2"/>
      <c r="M117" s="2"/>
    </row>
    <row r="118" customFormat="false" ht="15" hidden="false" customHeight="false" outlineLevel="0" collapsed="false">
      <c r="A118" s="2"/>
      <c r="B118" s="11"/>
      <c r="C118" s="2"/>
      <c r="D118" s="2"/>
      <c r="E118" s="2"/>
      <c r="F118" s="2"/>
      <c r="G118" s="2"/>
      <c r="H118" s="23"/>
      <c r="I118" s="23"/>
      <c r="J118" s="23" t="str">
        <f aca="false">IF(C118="","",IF(OR(C118="Purchase",C118="Fee",C118="Withdrawal"),-(H118+I118),H118-I118))</f>
        <v/>
      </c>
      <c r="K118" s="2"/>
      <c r="L118" s="2"/>
      <c r="M118" s="2"/>
    </row>
    <row r="119" customFormat="false" ht="15" hidden="false" customHeight="false" outlineLevel="0" collapsed="false">
      <c r="A119" s="2"/>
      <c r="B119" s="11"/>
      <c r="C119" s="2"/>
      <c r="D119" s="2"/>
      <c r="E119" s="2"/>
      <c r="F119" s="2"/>
      <c r="G119" s="2"/>
      <c r="H119" s="23"/>
      <c r="I119" s="23"/>
      <c r="J119" s="23" t="str">
        <f aca="false">IF(C119="","",IF(OR(C119="Purchase",C119="Fee",C119="Withdrawal"),-(H119+I119),H119-I119))</f>
        <v/>
      </c>
      <c r="K119" s="2"/>
      <c r="L119" s="2"/>
      <c r="M119" s="2"/>
    </row>
    <row r="120" customFormat="false" ht="15" hidden="false" customHeight="false" outlineLevel="0" collapsed="false">
      <c r="A120" s="2"/>
      <c r="B120" s="11"/>
      <c r="C120" s="2"/>
      <c r="D120" s="2"/>
      <c r="E120" s="2"/>
      <c r="F120" s="2"/>
      <c r="G120" s="2"/>
      <c r="H120" s="23"/>
      <c r="I120" s="23"/>
      <c r="J120" s="23" t="str">
        <f aca="false">IF(C120="","",IF(OR(C120="Purchase",C120="Fee",C120="Withdrawal"),-(H120+I120),H120-I120))</f>
        <v/>
      </c>
      <c r="K120" s="2"/>
      <c r="L120" s="2"/>
      <c r="M120" s="2"/>
    </row>
    <row r="121" customFormat="false" ht="15" hidden="false" customHeight="false" outlineLevel="0" collapsed="false">
      <c r="A121" s="2"/>
      <c r="B121" s="11"/>
      <c r="C121" s="2"/>
      <c r="D121" s="2"/>
      <c r="E121" s="2"/>
      <c r="F121" s="2"/>
      <c r="G121" s="2"/>
      <c r="H121" s="23"/>
      <c r="I121" s="23"/>
      <c r="J121" s="23" t="str">
        <f aca="false">IF(C121="","",IF(OR(C121="Purchase",C121="Fee",C121="Withdrawal"),-(H121+I121),H121-I121))</f>
        <v/>
      </c>
      <c r="K121" s="2"/>
      <c r="L121" s="2"/>
      <c r="M121" s="2"/>
    </row>
    <row r="122" customFormat="false" ht="15" hidden="false" customHeight="false" outlineLevel="0" collapsed="false">
      <c r="A122" s="2"/>
      <c r="B122" s="11"/>
      <c r="C122" s="2"/>
      <c r="D122" s="2"/>
      <c r="E122" s="2"/>
      <c r="F122" s="2"/>
      <c r="G122" s="2"/>
      <c r="H122" s="23"/>
      <c r="I122" s="23"/>
      <c r="J122" s="23" t="str">
        <f aca="false">IF(C122="","",IF(OR(C122="Purchase",C122="Fee",C122="Withdrawal"),-(H122+I122),H122-I122))</f>
        <v/>
      </c>
      <c r="K122" s="2"/>
      <c r="L122" s="2"/>
      <c r="M122" s="2"/>
    </row>
    <row r="123" customFormat="false" ht="15" hidden="false" customHeight="false" outlineLevel="0" collapsed="false">
      <c r="A123" s="2"/>
      <c r="B123" s="11"/>
      <c r="C123" s="2"/>
      <c r="D123" s="2"/>
      <c r="E123" s="2"/>
      <c r="F123" s="2"/>
      <c r="G123" s="2"/>
      <c r="H123" s="23"/>
      <c r="I123" s="23"/>
      <c r="J123" s="23" t="str">
        <f aca="false">IF(C123="","",IF(OR(C123="Purchase",C123="Fee",C123="Withdrawal"),-(H123+I123),H123-I123))</f>
        <v/>
      </c>
      <c r="K123" s="2"/>
      <c r="L123" s="2"/>
      <c r="M123" s="2"/>
    </row>
    <row r="124" customFormat="false" ht="15" hidden="false" customHeight="false" outlineLevel="0" collapsed="false">
      <c r="A124" s="2"/>
      <c r="B124" s="11"/>
      <c r="C124" s="2"/>
      <c r="D124" s="2"/>
      <c r="E124" s="2"/>
      <c r="F124" s="2"/>
      <c r="G124" s="2"/>
      <c r="H124" s="23"/>
      <c r="I124" s="23"/>
      <c r="J124" s="23" t="str">
        <f aca="false">IF(C124="","",IF(OR(C124="Purchase",C124="Fee",C124="Withdrawal"),-(H124+I124),H124-I124))</f>
        <v/>
      </c>
      <c r="K124" s="2"/>
      <c r="L124" s="2"/>
      <c r="M124" s="2"/>
    </row>
    <row r="125" customFormat="false" ht="15" hidden="false" customHeight="false" outlineLevel="0" collapsed="false">
      <c r="A125" s="2"/>
      <c r="B125" s="11"/>
      <c r="C125" s="2"/>
      <c r="D125" s="2"/>
      <c r="E125" s="2"/>
      <c r="F125" s="2"/>
      <c r="G125" s="2"/>
      <c r="H125" s="23"/>
      <c r="I125" s="23"/>
      <c r="J125" s="23" t="str">
        <f aca="false">IF(C125="","",IF(OR(C125="Purchase",C125="Fee",C125="Withdrawal"),-(H125+I125),H125-I125))</f>
        <v/>
      </c>
      <c r="K125" s="2"/>
      <c r="L125" s="2"/>
      <c r="M125" s="2"/>
    </row>
    <row r="126" customFormat="false" ht="15" hidden="false" customHeight="false" outlineLevel="0" collapsed="false">
      <c r="A126" s="2"/>
      <c r="B126" s="11"/>
      <c r="C126" s="2"/>
      <c r="D126" s="2"/>
      <c r="E126" s="2"/>
      <c r="F126" s="2"/>
      <c r="G126" s="2"/>
      <c r="H126" s="23"/>
      <c r="I126" s="23"/>
      <c r="J126" s="23" t="str">
        <f aca="false">IF(C126="","",IF(OR(C126="Purchase",C126="Fee",C126="Withdrawal"),-(H126+I126),H126-I126))</f>
        <v/>
      </c>
      <c r="K126" s="2"/>
      <c r="L126" s="2"/>
      <c r="M126" s="2"/>
    </row>
    <row r="127" customFormat="false" ht="15" hidden="false" customHeight="false" outlineLevel="0" collapsed="false">
      <c r="A127" s="2"/>
      <c r="B127" s="11"/>
      <c r="C127" s="2"/>
      <c r="D127" s="2"/>
      <c r="E127" s="2"/>
      <c r="F127" s="2"/>
      <c r="G127" s="2"/>
      <c r="H127" s="23"/>
      <c r="I127" s="23"/>
      <c r="J127" s="23" t="str">
        <f aca="false">IF(C127="","",IF(OR(C127="Purchase",C127="Fee",C127="Withdrawal"),-(H127+I127),H127-I127))</f>
        <v/>
      </c>
      <c r="K127" s="2"/>
      <c r="L127" s="2"/>
      <c r="M127" s="2"/>
    </row>
    <row r="128" customFormat="false" ht="15" hidden="false" customHeight="false" outlineLevel="0" collapsed="false">
      <c r="A128" s="2"/>
      <c r="B128" s="11"/>
      <c r="C128" s="2"/>
      <c r="D128" s="2"/>
      <c r="E128" s="2"/>
      <c r="F128" s="2"/>
      <c r="G128" s="2"/>
      <c r="H128" s="23"/>
      <c r="I128" s="23"/>
      <c r="J128" s="23" t="str">
        <f aca="false">IF(C128="","",IF(OR(C128="Purchase",C128="Fee",C128="Withdrawal"),-(H128+I128),H128-I128))</f>
        <v/>
      </c>
      <c r="K128" s="2"/>
      <c r="L128" s="2"/>
      <c r="M128" s="2"/>
    </row>
    <row r="129" customFormat="false" ht="15" hidden="false" customHeight="false" outlineLevel="0" collapsed="false">
      <c r="A129" s="2"/>
      <c r="B129" s="11"/>
      <c r="C129" s="2"/>
      <c r="D129" s="2"/>
      <c r="E129" s="2"/>
      <c r="F129" s="2"/>
      <c r="G129" s="2"/>
      <c r="H129" s="23"/>
      <c r="I129" s="23"/>
      <c r="J129" s="23" t="str">
        <f aca="false">IF(C129="","",IF(OR(C129="Purchase",C129="Fee",C129="Withdrawal"),-(H129+I129),H129-I129))</f>
        <v/>
      </c>
      <c r="K129" s="2"/>
      <c r="L129" s="2"/>
      <c r="M129" s="2"/>
    </row>
    <row r="130" customFormat="false" ht="15" hidden="false" customHeight="false" outlineLevel="0" collapsed="false">
      <c r="A130" s="2"/>
      <c r="B130" s="11"/>
      <c r="C130" s="2"/>
      <c r="D130" s="2"/>
      <c r="E130" s="2"/>
      <c r="F130" s="2"/>
      <c r="G130" s="2"/>
      <c r="H130" s="23"/>
      <c r="I130" s="23"/>
      <c r="J130" s="23" t="str">
        <f aca="false">IF(C130="","",IF(OR(C130="Purchase",C130="Fee",C130="Withdrawal"),-(H130+I130),H130-I130))</f>
        <v/>
      </c>
      <c r="K130" s="2"/>
      <c r="L130" s="2"/>
      <c r="M130" s="2"/>
    </row>
    <row r="131" customFormat="false" ht="15" hidden="false" customHeight="false" outlineLevel="0" collapsed="false">
      <c r="A131" s="2"/>
      <c r="B131" s="11"/>
      <c r="C131" s="2"/>
      <c r="D131" s="2"/>
      <c r="E131" s="2"/>
      <c r="F131" s="2"/>
      <c r="G131" s="2"/>
      <c r="H131" s="23"/>
      <c r="I131" s="23"/>
      <c r="J131" s="23" t="str">
        <f aca="false">IF(C131="","",IF(OR(C131="Purchase",C131="Fee",C131="Withdrawal"),-(H131+I131),H131-I131))</f>
        <v/>
      </c>
      <c r="K131" s="2"/>
      <c r="L131" s="2"/>
      <c r="M131" s="2"/>
    </row>
    <row r="132" customFormat="false" ht="15" hidden="false" customHeight="false" outlineLevel="0" collapsed="false">
      <c r="A132" s="2"/>
      <c r="B132" s="11"/>
      <c r="C132" s="2"/>
      <c r="D132" s="2"/>
      <c r="E132" s="2"/>
      <c r="F132" s="2"/>
      <c r="G132" s="2"/>
      <c r="H132" s="23"/>
      <c r="I132" s="23"/>
      <c r="J132" s="23" t="str">
        <f aca="false">IF(C132="","",IF(OR(C132="Purchase",C132="Fee",C132="Withdrawal"),-(H132+I132),H132-I132))</f>
        <v/>
      </c>
      <c r="K132" s="2"/>
      <c r="L132" s="2"/>
      <c r="M132" s="2"/>
    </row>
    <row r="133" customFormat="false" ht="15" hidden="false" customHeight="false" outlineLevel="0" collapsed="false">
      <c r="A133" s="2"/>
      <c r="B133" s="11"/>
      <c r="C133" s="2"/>
      <c r="D133" s="2"/>
      <c r="E133" s="2"/>
      <c r="F133" s="2"/>
      <c r="G133" s="2"/>
      <c r="H133" s="23"/>
      <c r="I133" s="23"/>
      <c r="J133" s="23" t="str">
        <f aca="false">IF(C133="","",IF(OR(C133="Purchase",C133="Fee",C133="Withdrawal"),-(H133+I133),H133-I133))</f>
        <v/>
      </c>
      <c r="K133" s="2"/>
      <c r="L133" s="2"/>
      <c r="M133" s="2"/>
    </row>
    <row r="134" customFormat="false" ht="15" hidden="false" customHeight="false" outlineLevel="0" collapsed="false">
      <c r="A134" s="2"/>
      <c r="B134" s="11"/>
      <c r="C134" s="2"/>
      <c r="D134" s="2"/>
      <c r="E134" s="2"/>
      <c r="F134" s="2"/>
      <c r="G134" s="2"/>
      <c r="H134" s="23"/>
      <c r="I134" s="23"/>
      <c r="J134" s="23" t="str">
        <f aca="false">IF(C134="","",IF(OR(C134="Purchase",C134="Fee",C134="Withdrawal"),-(H134+I134),H134-I134))</f>
        <v/>
      </c>
      <c r="K134" s="2"/>
      <c r="L134" s="2"/>
      <c r="M134" s="2"/>
    </row>
    <row r="135" customFormat="false" ht="15" hidden="false" customHeight="false" outlineLevel="0" collapsed="false">
      <c r="A135" s="2"/>
      <c r="B135" s="11"/>
      <c r="C135" s="2"/>
      <c r="D135" s="2"/>
      <c r="E135" s="2"/>
      <c r="F135" s="2"/>
      <c r="G135" s="2"/>
      <c r="H135" s="23"/>
      <c r="I135" s="23"/>
      <c r="J135" s="23" t="str">
        <f aca="false">IF(C135="","",IF(OR(C135="Purchase",C135="Fee",C135="Withdrawal"),-(H135+I135),H135-I135))</f>
        <v/>
      </c>
      <c r="K135" s="2"/>
      <c r="L135" s="2"/>
      <c r="M135" s="2"/>
    </row>
    <row r="136" customFormat="false" ht="15" hidden="false" customHeight="false" outlineLevel="0" collapsed="false">
      <c r="A136" s="2"/>
      <c r="B136" s="11"/>
      <c r="C136" s="2"/>
      <c r="D136" s="2"/>
      <c r="E136" s="2"/>
      <c r="F136" s="2"/>
      <c r="G136" s="2"/>
      <c r="H136" s="23"/>
      <c r="I136" s="23"/>
      <c r="J136" s="23" t="str">
        <f aca="false">IF(C136="","",IF(OR(C136="Purchase",C136="Fee",C136="Withdrawal"),-(H136+I136),H136-I136))</f>
        <v/>
      </c>
      <c r="K136" s="2"/>
      <c r="L136" s="2"/>
      <c r="M136" s="2"/>
    </row>
    <row r="137" customFormat="false" ht="15" hidden="false" customHeight="false" outlineLevel="0" collapsed="false">
      <c r="A137" s="2"/>
      <c r="B137" s="11"/>
      <c r="C137" s="2"/>
      <c r="D137" s="2"/>
      <c r="E137" s="2"/>
      <c r="F137" s="2"/>
      <c r="G137" s="2"/>
      <c r="H137" s="23"/>
      <c r="I137" s="23"/>
      <c r="J137" s="23" t="str">
        <f aca="false">IF(C137="","",IF(OR(C137="Purchase",C137="Fee",C137="Withdrawal"),-(H137+I137),H137-I137))</f>
        <v/>
      </c>
      <c r="K137" s="2"/>
      <c r="L137" s="2"/>
      <c r="M137" s="2"/>
    </row>
    <row r="138" customFormat="false" ht="15" hidden="false" customHeight="false" outlineLevel="0" collapsed="false">
      <c r="A138" s="2"/>
      <c r="B138" s="11"/>
      <c r="C138" s="2"/>
      <c r="D138" s="2"/>
      <c r="E138" s="2"/>
      <c r="F138" s="2"/>
      <c r="G138" s="2"/>
      <c r="H138" s="23"/>
      <c r="I138" s="23"/>
      <c r="J138" s="23" t="str">
        <f aca="false">IF(C138="","",IF(OR(C138="Purchase",C138="Fee",C138="Withdrawal"),-(H138+I138),H138-I138))</f>
        <v/>
      </c>
      <c r="K138" s="2"/>
      <c r="L138" s="2"/>
      <c r="M138" s="2"/>
    </row>
    <row r="139" customFormat="false" ht="15" hidden="false" customHeight="false" outlineLevel="0" collapsed="false">
      <c r="A139" s="2"/>
      <c r="B139" s="11"/>
      <c r="C139" s="2"/>
      <c r="D139" s="2"/>
      <c r="E139" s="2"/>
      <c r="F139" s="2"/>
      <c r="G139" s="2"/>
      <c r="H139" s="23"/>
      <c r="I139" s="23"/>
      <c r="J139" s="23" t="str">
        <f aca="false">IF(C139="","",IF(OR(C139="Purchase",C139="Fee",C139="Withdrawal"),-(H139+I139),H139-I139))</f>
        <v/>
      </c>
      <c r="K139" s="2"/>
      <c r="L139" s="2"/>
      <c r="M139" s="2"/>
    </row>
    <row r="140" customFormat="false" ht="15" hidden="false" customHeight="false" outlineLevel="0" collapsed="false">
      <c r="A140" s="2"/>
      <c r="B140" s="11"/>
      <c r="C140" s="2"/>
      <c r="D140" s="2"/>
      <c r="E140" s="2"/>
      <c r="F140" s="2"/>
      <c r="G140" s="2"/>
      <c r="H140" s="23"/>
      <c r="I140" s="23"/>
      <c r="J140" s="23" t="str">
        <f aca="false">IF(C140="","",IF(OR(C140="Purchase",C140="Fee",C140="Withdrawal"),-(H140+I140),H140-I140))</f>
        <v/>
      </c>
      <c r="K140" s="2"/>
      <c r="L140" s="2"/>
      <c r="M140" s="2"/>
    </row>
    <row r="141" customFormat="false" ht="15" hidden="false" customHeight="false" outlineLevel="0" collapsed="false">
      <c r="A141" s="2"/>
      <c r="B141" s="11"/>
      <c r="C141" s="2"/>
      <c r="D141" s="2"/>
      <c r="E141" s="2"/>
      <c r="F141" s="2"/>
      <c r="G141" s="2"/>
      <c r="H141" s="23"/>
      <c r="I141" s="23"/>
      <c r="J141" s="23" t="str">
        <f aca="false">IF(C141="","",IF(OR(C141="Purchase",C141="Fee",C141="Withdrawal"),-(H141+I141),H141-I141))</f>
        <v/>
      </c>
      <c r="K141" s="2"/>
      <c r="L141" s="2"/>
      <c r="M141" s="2"/>
    </row>
    <row r="142" customFormat="false" ht="15" hidden="false" customHeight="false" outlineLevel="0" collapsed="false">
      <c r="A142" s="2"/>
      <c r="B142" s="11"/>
      <c r="C142" s="2"/>
      <c r="D142" s="2"/>
      <c r="E142" s="2"/>
      <c r="F142" s="2"/>
      <c r="G142" s="2"/>
      <c r="H142" s="23"/>
      <c r="I142" s="23"/>
      <c r="J142" s="23" t="str">
        <f aca="false">IF(C142="","",IF(OR(C142="Purchase",C142="Fee",C142="Withdrawal"),-(H142+I142),H142-I142))</f>
        <v/>
      </c>
      <c r="K142" s="2"/>
      <c r="L142" s="2"/>
      <c r="M142" s="2"/>
    </row>
    <row r="143" customFormat="false" ht="15" hidden="false" customHeight="false" outlineLevel="0" collapsed="false">
      <c r="A143" s="2"/>
      <c r="B143" s="11"/>
      <c r="C143" s="2"/>
      <c r="D143" s="2"/>
      <c r="E143" s="2"/>
      <c r="F143" s="2"/>
      <c r="G143" s="2"/>
      <c r="H143" s="23"/>
      <c r="I143" s="23"/>
      <c r="J143" s="23" t="str">
        <f aca="false">IF(C143="","",IF(OR(C143="Purchase",C143="Fee",C143="Withdrawal"),-(H143+I143),H143-I143))</f>
        <v/>
      </c>
      <c r="K143" s="2"/>
      <c r="L143" s="2"/>
      <c r="M143" s="2"/>
    </row>
    <row r="144" customFormat="false" ht="15" hidden="false" customHeight="false" outlineLevel="0" collapsed="false">
      <c r="A144" s="2"/>
      <c r="B144" s="11"/>
      <c r="C144" s="2"/>
      <c r="D144" s="2"/>
      <c r="E144" s="2"/>
      <c r="F144" s="2"/>
      <c r="G144" s="2"/>
      <c r="H144" s="23"/>
      <c r="I144" s="23"/>
      <c r="J144" s="23" t="str">
        <f aca="false">IF(C144="","",IF(OR(C144="Purchase",C144="Fee",C144="Withdrawal"),-(H144+I144),H144-I144))</f>
        <v/>
      </c>
      <c r="K144" s="2"/>
      <c r="L144" s="2"/>
      <c r="M144" s="2"/>
    </row>
    <row r="145" customFormat="false" ht="15" hidden="false" customHeight="false" outlineLevel="0" collapsed="false">
      <c r="A145" s="2"/>
      <c r="B145" s="11"/>
      <c r="C145" s="2"/>
      <c r="D145" s="2"/>
      <c r="E145" s="2"/>
      <c r="F145" s="2"/>
      <c r="G145" s="2"/>
      <c r="H145" s="23"/>
      <c r="I145" s="23"/>
      <c r="J145" s="23" t="str">
        <f aca="false">IF(C145="","",IF(OR(C145="Purchase",C145="Fee",C145="Withdrawal"),-(H145+I145),H145-I145))</f>
        <v/>
      </c>
      <c r="K145" s="2"/>
      <c r="L145" s="2"/>
      <c r="M145" s="2"/>
    </row>
    <row r="146" customFormat="false" ht="15" hidden="false" customHeight="false" outlineLevel="0" collapsed="false">
      <c r="A146" s="2"/>
      <c r="B146" s="11"/>
      <c r="C146" s="2"/>
      <c r="D146" s="2"/>
      <c r="E146" s="2"/>
      <c r="F146" s="2"/>
      <c r="G146" s="2"/>
      <c r="H146" s="23"/>
      <c r="I146" s="23"/>
      <c r="J146" s="23" t="str">
        <f aca="false">IF(C146="","",IF(OR(C146="Purchase",C146="Fee",C146="Withdrawal"),-(H146+I146),H146-I146))</f>
        <v/>
      </c>
      <c r="K146" s="2"/>
      <c r="L146" s="2"/>
      <c r="M146" s="2"/>
    </row>
    <row r="147" customFormat="false" ht="15" hidden="false" customHeight="false" outlineLevel="0" collapsed="false">
      <c r="A147" s="2"/>
      <c r="B147" s="11"/>
      <c r="C147" s="2"/>
      <c r="D147" s="2"/>
      <c r="E147" s="2"/>
      <c r="F147" s="2"/>
      <c r="G147" s="2"/>
      <c r="H147" s="23"/>
      <c r="I147" s="23"/>
      <c r="J147" s="23" t="str">
        <f aca="false">IF(C147="","",IF(OR(C147="Purchase",C147="Fee",C147="Withdrawal"),-(H147+I147),H147-I147))</f>
        <v/>
      </c>
      <c r="K147" s="2"/>
      <c r="L147" s="2"/>
      <c r="M147" s="2"/>
    </row>
    <row r="148" customFormat="false" ht="15" hidden="false" customHeight="false" outlineLevel="0" collapsed="false">
      <c r="A148" s="2"/>
      <c r="B148" s="11"/>
      <c r="C148" s="2"/>
      <c r="D148" s="2"/>
      <c r="E148" s="2"/>
      <c r="F148" s="2"/>
      <c r="G148" s="2"/>
      <c r="H148" s="23"/>
      <c r="I148" s="23"/>
      <c r="J148" s="23" t="str">
        <f aca="false">IF(C148="","",IF(OR(C148="Purchase",C148="Fee",C148="Withdrawal"),-(H148+I148),H148-I148))</f>
        <v/>
      </c>
      <c r="K148" s="2"/>
      <c r="L148" s="2"/>
      <c r="M148" s="2"/>
    </row>
    <row r="149" customFormat="false" ht="15" hidden="false" customHeight="false" outlineLevel="0" collapsed="false">
      <c r="A149" s="2"/>
      <c r="B149" s="11"/>
      <c r="C149" s="2"/>
      <c r="D149" s="2"/>
      <c r="E149" s="2"/>
      <c r="F149" s="2"/>
      <c r="G149" s="2"/>
      <c r="H149" s="23"/>
      <c r="I149" s="23"/>
      <c r="J149" s="23" t="str">
        <f aca="false">IF(C149="","",IF(OR(C149="Purchase",C149="Fee",C149="Withdrawal"),-(H149+I149),H149-I149))</f>
        <v/>
      </c>
      <c r="K149" s="2"/>
      <c r="L149" s="2"/>
      <c r="M149" s="2"/>
    </row>
    <row r="150" customFormat="false" ht="15" hidden="false" customHeight="false" outlineLevel="0" collapsed="false">
      <c r="A150" s="2"/>
      <c r="B150" s="11"/>
      <c r="C150" s="2"/>
      <c r="D150" s="2"/>
      <c r="E150" s="2"/>
      <c r="F150" s="2"/>
      <c r="G150" s="2"/>
      <c r="H150" s="23"/>
      <c r="I150" s="23"/>
      <c r="J150" s="23" t="str">
        <f aca="false">IF(C150="","",IF(OR(C150="Purchase",C150="Fee",C150="Withdrawal"),-(H150+I150),H150-I150))</f>
        <v/>
      </c>
      <c r="K150" s="2"/>
      <c r="L150" s="2"/>
      <c r="M150" s="2"/>
    </row>
    <row r="151" customFormat="false" ht="15" hidden="false" customHeight="false" outlineLevel="0" collapsed="false">
      <c r="A151" s="2"/>
      <c r="B151" s="11"/>
      <c r="C151" s="2"/>
      <c r="D151" s="2"/>
      <c r="E151" s="2"/>
      <c r="F151" s="2"/>
      <c r="G151" s="2"/>
      <c r="H151" s="23"/>
      <c r="I151" s="23"/>
      <c r="J151" s="23" t="str">
        <f aca="false">IF(C151="","",IF(OR(C151="Purchase",C151="Fee",C151="Withdrawal"),-(H151+I151),H151-I151))</f>
        <v/>
      </c>
      <c r="K151" s="2"/>
      <c r="L151" s="2"/>
      <c r="M151" s="2"/>
    </row>
    <row r="152" customFormat="false" ht="15" hidden="false" customHeight="false" outlineLevel="0" collapsed="false">
      <c r="A152" s="2"/>
      <c r="B152" s="11"/>
      <c r="C152" s="2"/>
      <c r="D152" s="2"/>
      <c r="E152" s="2"/>
      <c r="F152" s="2"/>
      <c r="G152" s="2"/>
      <c r="H152" s="23"/>
      <c r="I152" s="23"/>
      <c r="J152" s="23" t="str">
        <f aca="false">IF(C152="","",IF(OR(C152="Purchase",C152="Fee",C152="Withdrawal"),-(H152+I152),H152-I152))</f>
        <v/>
      </c>
      <c r="K152" s="2"/>
      <c r="L152" s="2"/>
      <c r="M152" s="2"/>
    </row>
    <row r="153" customFormat="false" ht="15" hidden="false" customHeight="false" outlineLevel="0" collapsed="false">
      <c r="A153" s="2"/>
      <c r="B153" s="11"/>
      <c r="C153" s="2"/>
      <c r="D153" s="2"/>
      <c r="E153" s="2"/>
      <c r="F153" s="2"/>
      <c r="G153" s="2"/>
      <c r="H153" s="23"/>
      <c r="I153" s="23"/>
      <c r="J153" s="23" t="str">
        <f aca="false">IF(C153="","",IF(OR(C153="Purchase",C153="Fee",C153="Withdrawal"),-(H153+I153),H153-I153))</f>
        <v/>
      </c>
      <c r="K153" s="2"/>
      <c r="L153" s="2"/>
      <c r="M153" s="2"/>
    </row>
    <row r="154" customFormat="false" ht="15" hidden="false" customHeight="false" outlineLevel="0" collapsed="false">
      <c r="A154" s="2"/>
      <c r="B154" s="11"/>
      <c r="C154" s="2"/>
      <c r="D154" s="2"/>
      <c r="E154" s="2"/>
      <c r="F154" s="2"/>
      <c r="G154" s="2"/>
      <c r="H154" s="23"/>
      <c r="I154" s="23"/>
      <c r="J154" s="23" t="str">
        <f aca="false">IF(C154="","",IF(OR(C154="Purchase",C154="Fee",C154="Withdrawal"),-(H154+I154),H154-I154))</f>
        <v/>
      </c>
      <c r="K154" s="2"/>
      <c r="L154" s="2"/>
      <c r="M154" s="2"/>
    </row>
    <row r="155" customFormat="false" ht="15" hidden="false" customHeight="false" outlineLevel="0" collapsed="false">
      <c r="A155" s="2"/>
      <c r="B155" s="11"/>
      <c r="C155" s="2"/>
      <c r="D155" s="2"/>
      <c r="E155" s="2"/>
      <c r="F155" s="2"/>
      <c r="G155" s="2"/>
      <c r="H155" s="23"/>
      <c r="I155" s="23"/>
      <c r="J155" s="23" t="str">
        <f aca="false">IF(C155="","",IF(OR(C155="Purchase",C155="Fee",C155="Withdrawal"),-(H155+I155),H155-I155))</f>
        <v/>
      </c>
      <c r="K155" s="2"/>
      <c r="L155" s="2"/>
      <c r="M155" s="2"/>
    </row>
    <row r="156" customFormat="false" ht="15" hidden="false" customHeight="false" outlineLevel="0" collapsed="false">
      <c r="A156" s="2"/>
      <c r="B156" s="11"/>
      <c r="C156" s="2"/>
      <c r="D156" s="2"/>
      <c r="E156" s="2"/>
      <c r="F156" s="2"/>
      <c r="G156" s="2"/>
      <c r="H156" s="23"/>
      <c r="I156" s="23"/>
      <c r="J156" s="23" t="str">
        <f aca="false">IF(C156="","",IF(OR(C156="Purchase",C156="Fee",C156="Withdrawal"),-(H156+I156),H156-I156))</f>
        <v/>
      </c>
      <c r="K156" s="2"/>
      <c r="L156" s="2"/>
      <c r="M156" s="2"/>
    </row>
    <row r="157" customFormat="false" ht="15" hidden="false" customHeight="false" outlineLevel="0" collapsed="false">
      <c r="A157" s="2"/>
      <c r="B157" s="11"/>
      <c r="C157" s="2"/>
      <c r="D157" s="2"/>
      <c r="E157" s="2"/>
      <c r="F157" s="2"/>
      <c r="G157" s="2"/>
      <c r="H157" s="23"/>
      <c r="I157" s="23"/>
      <c r="J157" s="23" t="str">
        <f aca="false">IF(C157="","",IF(OR(C157="Purchase",C157="Fee",C157="Withdrawal"),-(H157+I157),H157-I157))</f>
        <v/>
      </c>
      <c r="K157" s="2"/>
      <c r="L157" s="2"/>
      <c r="M157" s="2"/>
    </row>
    <row r="158" customFormat="false" ht="15" hidden="false" customHeight="false" outlineLevel="0" collapsed="false">
      <c r="A158" s="2"/>
      <c r="B158" s="11"/>
      <c r="C158" s="2"/>
      <c r="D158" s="2"/>
      <c r="E158" s="2"/>
      <c r="F158" s="2"/>
      <c r="G158" s="2"/>
      <c r="H158" s="23"/>
      <c r="I158" s="23"/>
      <c r="J158" s="23" t="str">
        <f aca="false">IF(C158="","",IF(OR(C158="Purchase",C158="Fee",C158="Withdrawal"),-(H158+I158),H158-I158))</f>
        <v/>
      </c>
      <c r="K158" s="2"/>
      <c r="L158" s="2"/>
      <c r="M158" s="2"/>
    </row>
    <row r="159" customFormat="false" ht="15" hidden="false" customHeight="false" outlineLevel="0" collapsed="false">
      <c r="A159" s="2"/>
      <c r="B159" s="11"/>
      <c r="C159" s="2"/>
      <c r="D159" s="2"/>
      <c r="E159" s="2"/>
      <c r="F159" s="2"/>
      <c r="G159" s="2"/>
      <c r="H159" s="23"/>
      <c r="I159" s="23"/>
      <c r="J159" s="23" t="str">
        <f aca="false">IF(C159="","",IF(OR(C159="Purchase",C159="Fee",C159="Withdrawal"),-(H159+I159),H159-I159))</f>
        <v/>
      </c>
      <c r="K159" s="2"/>
      <c r="L159" s="2"/>
      <c r="M159" s="2"/>
    </row>
    <row r="160" customFormat="false" ht="15" hidden="false" customHeight="false" outlineLevel="0" collapsed="false">
      <c r="A160" s="2"/>
      <c r="B160" s="11"/>
      <c r="C160" s="2"/>
      <c r="D160" s="2"/>
      <c r="E160" s="2"/>
      <c r="F160" s="2"/>
      <c r="G160" s="2"/>
      <c r="H160" s="23"/>
      <c r="I160" s="23"/>
      <c r="J160" s="23" t="str">
        <f aca="false">IF(C160="","",IF(OR(C160="Purchase",C160="Fee",C160="Withdrawal"),-(H160+I160),H160-I160))</f>
        <v/>
      </c>
      <c r="K160" s="2"/>
      <c r="L160" s="2"/>
      <c r="M160" s="2"/>
    </row>
    <row r="161" customFormat="false" ht="15" hidden="false" customHeight="false" outlineLevel="0" collapsed="false">
      <c r="A161" s="2"/>
      <c r="B161" s="11"/>
      <c r="C161" s="2"/>
      <c r="D161" s="2"/>
      <c r="E161" s="2"/>
      <c r="F161" s="2"/>
      <c r="G161" s="2"/>
      <c r="H161" s="23"/>
      <c r="I161" s="23"/>
      <c r="J161" s="23" t="str">
        <f aca="false">IF(C161="","",IF(OR(C161="Purchase",C161="Fee",C161="Withdrawal"),-(H161+I161),H161-I161))</f>
        <v/>
      </c>
      <c r="K161" s="2"/>
      <c r="L161" s="2"/>
      <c r="M161" s="2"/>
    </row>
    <row r="162" customFormat="false" ht="15" hidden="false" customHeight="false" outlineLevel="0" collapsed="false">
      <c r="A162" s="2"/>
      <c r="B162" s="11"/>
      <c r="C162" s="2"/>
      <c r="D162" s="2"/>
      <c r="E162" s="2"/>
      <c r="F162" s="2"/>
      <c r="G162" s="2"/>
      <c r="H162" s="23"/>
      <c r="I162" s="23"/>
      <c r="J162" s="23" t="str">
        <f aca="false">IF(C162="","",IF(OR(C162="Purchase",C162="Fee",C162="Withdrawal"),-(H162+I162),H162-I162))</f>
        <v/>
      </c>
      <c r="K162" s="2"/>
      <c r="L162" s="2"/>
      <c r="M162" s="2"/>
    </row>
    <row r="163" customFormat="false" ht="15" hidden="false" customHeight="false" outlineLevel="0" collapsed="false">
      <c r="A163" s="2"/>
      <c r="B163" s="11"/>
      <c r="C163" s="2"/>
      <c r="D163" s="2"/>
      <c r="E163" s="2"/>
      <c r="F163" s="2"/>
      <c r="G163" s="2"/>
      <c r="H163" s="23"/>
      <c r="I163" s="23"/>
      <c r="J163" s="23" t="str">
        <f aca="false">IF(C163="","",IF(OR(C163="Purchase",C163="Fee",C163="Withdrawal"),-(H163+I163),H163-I163))</f>
        <v/>
      </c>
      <c r="K163" s="2"/>
      <c r="L163" s="2"/>
      <c r="M163" s="2"/>
    </row>
    <row r="164" customFormat="false" ht="15" hidden="false" customHeight="false" outlineLevel="0" collapsed="false">
      <c r="A164" s="2"/>
      <c r="B164" s="11"/>
      <c r="C164" s="2"/>
      <c r="D164" s="2"/>
      <c r="E164" s="2"/>
      <c r="F164" s="2"/>
      <c r="G164" s="2"/>
      <c r="H164" s="23"/>
      <c r="I164" s="23"/>
      <c r="J164" s="23" t="str">
        <f aca="false">IF(C164="","",IF(OR(C164="Purchase",C164="Fee",C164="Withdrawal"),-(H164+I164),H164-I164))</f>
        <v/>
      </c>
      <c r="K164" s="2"/>
      <c r="L164" s="2"/>
      <c r="M164" s="2"/>
    </row>
    <row r="165" customFormat="false" ht="15" hidden="false" customHeight="false" outlineLevel="0" collapsed="false">
      <c r="A165" s="2"/>
      <c r="B165" s="11"/>
      <c r="C165" s="2"/>
      <c r="D165" s="2"/>
      <c r="E165" s="2"/>
      <c r="F165" s="2"/>
      <c r="G165" s="2"/>
      <c r="H165" s="23"/>
      <c r="I165" s="23"/>
      <c r="J165" s="23" t="str">
        <f aca="false">IF(C165="","",IF(OR(C165="Purchase",C165="Fee",C165="Withdrawal"),-(H165+I165),H165-I165))</f>
        <v/>
      </c>
      <c r="K165" s="2"/>
      <c r="L165" s="2"/>
      <c r="M165" s="2"/>
    </row>
    <row r="166" customFormat="false" ht="15" hidden="false" customHeight="false" outlineLevel="0" collapsed="false">
      <c r="A166" s="2"/>
      <c r="B166" s="11"/>
      <c r="C166" s="2"/>
      <c r="D166" s="2"/>
      <c r="E166" s="2"/>
      <c r="F166" s="2"/>
      <c r="G166" s="2"/>
      <c r="H166" s="23"/>
      <c r="I166" s="23"/>
      <c r="J166" s="23" t="str">
        <f aca="false">IF(C166="","",IF(OR(C166="Purchase",C166="Fee",C166="Withdrawal"),-(H166+I166),H166-I166))</f>
        <v/>
      </c>
      <c r="K166" s="2"/>
      <c r="L166" s="2"/>
      <c r="M166" s="2"/>
    </row>
    <row r="167" customFormat="false" ht="15" hidden="false" customHeight="false" outlineLevel="0" collapsed="false">
      <c r="A167" s="2"/>
      <c r="B167" s="11"/>
      <c r="C167" s="2"/>
      <c r="D167" s="2"/>
      <c r="E167" s="2"/>
      <c r="F167" s="2"/>
      <c r="G167" s="2"/>
      <c r="H167" s="23"/>
      <c r="I167" s="23"/>
      <c r="J167" s="23" t="str">
        <f aca="false">IF(C167="","",IF(OR(C167="Purchase",C167="Fee",C167="Withdrawal"),-(H167+I167),H167-I167))</f>
        <v/>
      </c>
      <c r="K167" s="2"/>
      <c r="L167" s="2"/>
      <c r="M167" s="2"/>
    </row>
    <row r="168" customFormat="false" ht="15" hidden="false" customHeight="false" outlineLevel="0" collapsed="false">
      <c r="A168" s="2"/>
      <c r="B168" s="11"/>
      <c r="C168" s="2"/>
      <c r="D168" s="2"/>
      <c r="E168" s="2"/>
      <c r="F168" s="2"/>
      <c r="G168" s="2"/>
      <c r="H168" s="23"/>
      <c r="I168" s="23"/>
      <c r="J168" s="23" t="str">
        <f aca="false">IF(C168="","",IF(OR(C168="Purchase",C168="Fee",C168="Withdrawal"),-(H168+I168),H168-I168))</f>
        <v/>
      </c>
      <c r="K168" s="2"/>
      <c r="L168" s="2"/>
      <c r="M168" s="2"/>
    </row>
    <row r="169" customFormat="false" ht="15" hidden="false" customHeight="false" outlineLevel="0" collapsed="false">
      <c r="A169" s="2"/>
      <c r="B169" s="11"/>
      <c r="C169" s="2"/>
      <c r="D169" s="2"/>
      <c r="E169" s="2"/>
      <c r="F169" s="2"/>
      <c r="G169" s="2"/>
      <c r="H169" s="23"/>
      <c r="I169" s="23"/>
      <c r="J169" s="23" t="str">
        <f aca="false">IF(C169="","",IF(OR(C169="Purchase",C169="Fee",C169="Withdrawal"),-(H169+I169),H169-I169))</f>
        <v/>
      </c>
      <c r="K169" s="2"/>
      <c r="L169" s="2"/>
      <c r="M169" s="2"/>
    </row>
    <row r="170" customFormat="false" ht="15" hidden="false" customHeight="false" outlineLevel="0" collapsed="false">
      <c r="A170" s="2"/>
      <c r="B170" s="11"/>
      <c r="C170" s="2"/>
      <c r="D170" s="2"/>
      <c r="E170" s="2"/>
      <c r="F170" s="2"/>
      <c r="G170" s="2"/>
      <c r="H170" s="23"/>
      <c r="I170" s="23"/>
      <c r="J170" s="23" t="str">
        <f aca="false">IF(C170="","",IF(OR(C170="Purchase",C170="Fee",C170="Withdrawal"),-(H170+I170),H170-I170))</f>
        <v/>
      </c>
      <c r="K170" s="2"/>
      <c r="L170" s="2"/>
      <c r="M170" s="2"/>
    </row>
    <row r="171" customFormat="false" ht="15" hidden="false" customHeight="false" outlineLevel="0" collapsed="false">
      <c r="A171" s="2"/>
      <c r="B171" s="11"/>
      <c r="C171" s="2"/>
      <c r="D171" s="2"/>
      <c r="E171" s="2"/>
      <c r="F171" s="2"/>
      <c r="G171" s="2"/>
      <c r="H171" s="23"/>
      <c r="I171" s="23"/>
      <c r="J171" s="23" t="str">
        <f aca="false">IF(C171="","",IF(OR(C171="Purchase",C171="Fee",C171="Withdrawal"),-(H171+I171),H171-I171))</f>
        <v/>
      </c>
      <c r="K171" s="2"/>
      <c r="L171" s="2"/>
      <c r="M171" s="2"/>
    </row>
    <row r="172" customFormat="false" ht="15" hidden="false" customHeight="false" outlineLevel="0" collapsed="false">
      <c r="A172" s="2"/>
      <c r="B172" s="11"/>
      <c r="C172" s="2"/>
      <c r="D172" s="2"/>
      <c r="E172" s="2"/>
      <c r="F172" s="2"/>
      <c r="G172" s="2"/>
      <c r="H172" s="23"/>
      <c r="I172" s="23"/>
      <c r="J172" s="23" t="str">
        <f aca="false">IF(C172="","",IF(OR(C172="Purchase",C172="Fee",C172="Withdrawal"),-(H172+I172),H172-I172))</f>
        <v/>
      </c>
      <c r="K172" s="2"/>
      <c r="L172" s="2"/>
      <c r="M172" s="2"/>
    </row>
    <row r="173" customFormat="false" ht="15" hidden="false" customHeight="false" outlineLevel="0" collapsed="false">
      <c r="A173" s="2"/>
      <c r="B173" s="11"/>
      <c r="C173" s="2"/>
      <c r="D173" s="2"/>
      <c r="E173" s="2"/>
      <c r="F173" s="2"/>
      <c r="G173" s="2"/>
      <c r="H173" s="23"/>
      <c r="I173" s="23"/>
      <c r="J173" s="23" t="str">
        <f aca="false">IF(C173="","",IF(OR(C173="Purchase",C173="Fee",C173="Withdrawal"),-(H173+I173),H173-I173))</f>
        <v/>
      </c>
      <c r="K173" s="2"/>
      <c r="L173" s="2"/>
      <c r="M173" s="2"/>
    </row>
    <row r="174" customFormat="false" ht="15" hidden="false" customHeight="false" outlineLevel="0" collapsed="false">
      <c r="A174" s="2"/>
      <c r="B174" s="11"/>
      <c r="C174" s="2"/>
      <c r="D174" s="2"/>
      <c r="E174" s="2"/>
      <c r="F174" s="2"/>
      <c r="G174" s="2"/>
      <c r="H174" s="23"/>
      <c r="I174" s="23"/>
      <c r="J174" s="23" t="str">
        <f aca="false">IF(C174="","",IF(OR(C174="Purchase",C174="Fee",C174="Withdrawal"),-(H174+I174),H174-I174))</f>
        <v/>
      </c>
      <c r="K174" s="2"/>
      <c r="L174" s="2"/>
      <c r="M174" s="2"/>
    </row>
    <row r="175" customFormat="false" ht="15" hidden="false" customHeight="false" outlineLevel="0" collapsed="false">
      <c r="A175" s="2"/>
      <c r="B175" s="11"/>
      <c r="C175" s="2"/>
      <c r="D175" s="2"/>
      <c r="E175" s="2"/>
      <c r="F175" s="2"/>
      <c r="G175" s="2"/>
      <c r="H175" s="23"/>
      <c r="I175" s="23"/>
      <c r="J175" s="23" t="str">
        <f aca="false">IF(C175="","",IF(OR(C175="Purchase",C175="Fee",C175="Withdrawal"),-(H175+I175),H175-I175))</f>
        <v/>
      </c>
      <c r="K175" s="2"/>
      <c r="L175" s="2"/>
      <c r="M175" s="2"/>
    </row>
    <row r="176" customFormat="false" ht="15" hidden="false" customHeight="false" outlineLevel="0" collapsed="false">
      <c r="A176" s="2"/>
      <c r="B176" s="11"/>
      <c r="C176" s="2"/>
      <c r="D176" s="2"/>
      <c r="E176" s="2"/>
      <c r="F176" s="2"/>
      <c r="G176" s="2"/>
      <c r="H176" s="23"/>
      <c r="I176" s="23"/>
      <c r="J176" s="23" t="str">
        <f aca="false">IF(C176="","",IF(OR(C176="Purchase",C176="Fee",C176="Withdrawal"),-(H176+I176),H176-I176))</f>
        <v/>
      </c>
      <c r="K176" s="2"/>
      <c r="L176" s="2"/>
      <c r="M176" s="2"/>
    </row>
    <row r="177" customFormat="false" ht="15" hidden="false" customHeight="false" outlineLevel="0" collapsed="false">
      <c r="A177" s="2"/>
      <c r="B177" s="11"/>
      <c r="C177" s="2"/>
      <c r="D177" s="2"/>
      <c r="E177" s="2"/>
      <c r="F177" s="2"/>
      <c r="G177" s="2"/>
      <c r="H177" s="23"/>
      <c r="I177" s="23"/>
      <c r="J177" s="23" t="str">
        <f aca="false">IF(C177="","",IF(OR(C177="Purchase",C177="Fee",C177="Withdrawal"),-(H177+I177),H177-I177))</f>
        <v/>
      </c>
      <c r="K177" s="2"/>
      <c r="L177" s="2"/>
      <c r="M177" s="2"/>
    </row>
    <row r="178" customFormat="false" ht="15" hidden="false" customHeight="false" outlineLevel="0" collapsed="false">
      <c r="A178" s="2"/>
      <c r="B178" s="11"/>
      <c r="C178" s="2"/>
      <c r="D178" s="2"/>
      <c r="E178" s="2"/>
      <c r="F178" s="2"/>
      <c r="G178" s="2"/>
      <c r="H178" s="23"/>
      <c r="I178" s="23"/>
      <c r="J178" s="23" t="str">
        <f aca="false">IF(C178="","",IF(OR(C178="Purchase",C178="Fee",C178="Withdrawal"),-(H178+I178),H178-I178))</f>
        <v/>
      </c>
      <c r="K178" s="2"/>
      <c r="L178" s="2"/>
      <c r="M178" s="2"/>
    </row>
    <row r="179" customFormat="false" ht="15" hidden="false" customHeight="false" outlineLevel="0" collapsed="false">
      <c r="A179" s="2"/>
      <c r="B179" s="11"/>
      <c r="C179" s="2"/>
      <c r="D179" s="2"/>
      <c r="E179" s="2"/>
      <c r="F179" s="2"/>
      <c r="G179" s="2"/>
      <c r="H179" s="23"/>
      <c r="I179" s="23"/>
      <c r="J179" s="23" t="str">
        <f aca="false">IF(C179="","",IF(OR(C179="Purchase",C179="Fee",C179="Withdrawal"),-(H179+I179),H179-I179))</f>
        <v/>
      </c>
      <c r="K179" s="2"/>
      <c r="L179" s="2"/>
      <c r="M179" s="2"/>
    </row>
    <row r="180" customFormat="false" ht="15" hidden="false" customHeight="false" outlineLevel="0" collapsed="false">
      <c r="A180" s="2"/>
      <c r="B180" s="11"/>
      <c r="C180" s="2"/>
      <c r="D180" s="2"/>
      <c r="E180" s="2"/>
      <c r="F180" s="2"/>
      <c r="G180" s="2"/>
      <c r="H180" s="23"/>
      <c r="I180" s="23"/>
      <c r="J180" s="23" t="str">
        <f aca="false">IF(C180="","",IF(OR(C180="Purchase",C180="Fee",C180="Withdrawal"),-(H180+I180),H180-I180))</f>
        <v/>
      </c>
      <c r="K180" s="2"/>
      <c r="L180" s="2"/>
      <c r="M180" s="2"/>
    </row>
    <row r="181" customFormat="false" ht="15" hidden="false" customHeight="false" outlineLevel="0" collapsed="false">
      <c r="A181" s="2"/>
      <c r="B181" s="11"/>
      <c r="C181" s="2"/>
      <c r="D181" s="2"/>
      <c r="E181" s="2"/>
      <c r="F181" s="2"/>
      <c r="G181" s="2"/>
      <c r="H181" s="23"/>
      <c r="I181" s="23"/>
      <c r="J181" s="23" t="str">
        <f aca="false">IF(C181="","",IF(OR(C181="Purchase",C181="Fee",C181="Withdrawal"),-(H181+I181),H181-I181))</f>
        <v/>
      </c>
      <c r="K181" s="2"/>
      <c r="L181" s="2"/>
      <c r="M181" s="2"/>
    </row>
    <row r="182" customFormat="false" ht="15" hidden="false" customHeight="false" outlineLevel="0" collapsed="false">
      <c r="A182" s="2"/>
      <c r="B182" s="11"/>
      <c r="C182" s="2"/>
      <c r="D182" s="2"/>
      <c r="E182" s="2"/>
      <c r="F182" s="2"/>
      <c r="G182" s="2"/>
      <c r="H182" s="23"/>
      <c r="I182" s="23"/>
      <c r="J182" s="23" t="str">
        <f aca="false">IF(C182="","",IF(OR(C182="Purchase",C182="Fee",C182="Withdrawal"),-(H182+I182),H182-I182))</f>
        <v/>
      </c>
      <c r="K182" s="2"/>
      <c r="L182" s="2"/>
      <c r="M182" s="2"/>
    </row>
    <row r="183" customFormat="false" ht="15" hidden="false" customHeight="false" outlineLevel="0" collapsed="false">
      <c r="A183" s="2"/>
      <c r="B183" s="11"/>
      <c r="C183" s="2"/>
      <c r="D183" s="2"/>
      <c r="E183" s="2"/>
      <c r="F183" s="2"/>
      <c r="G183" s="2"/>
      <c r="H183" s="23"/>
      <c r="I183" s="23"/>
      <c r="J183" s="23" t="str">
        <f aca="false">IF(C183="","",IF(OR(C183="Purchase",C183="Fee",C183="Withdrawal"),-(H183+I183),H183-I183))</f>
        <v/>
      </c>
      <c r="K183" s="2"/>
      <c r="L183" s="2"/>
      <c r="M183" s="2"/>
    </row>
    <row r="184" customFormat="false" ht="15" hidden="false" customHeight="false" outlineLevel="0" collapsed="false">
      <c r="A184" s="2"/>
      <c r="B184" s="11"/>
      <c r="C184" s="2"/>
      <c r="D184" s="2"/>
      <c r="E184" s="2"/>
      <c r="F184" s="2"/>
      <c r="G184" s="2"/>
      <c r="H184" s="23"/>
      <c r="I184" s="23"/>
      <c r="J184" s="23" t="str">
        <f aca="false">IF(C184="","",IF(OR(C184="Purchase",C184="Fee",C184="Withdrawal"),-(H184+I184),H184-I184))</f>
        <v/>
      </c>
      <c r="K184" s="2"/>
      <c r="L184" s="2"/>
      <c r="M184" s="2"/>
    </row>
    <row r="185" customFormat="false" ht="15" hidden="false" customHeight="false" outlineLevel="0" collapsed="false">
      <c r="A185" s="2"/>
      <c r="B185" s="11"/>
      <c r="C185" s="2"/>
      <c r="D185" s="2"/>
      <c r="E185" s="2"/>
      <c r="F185" s="2"/>
      <c r="G185" s="2"/>
      <c r="H185" s="23"/>
      <c r="I185" s="23"/>
      <c r="J185" s="23" t="str">
        <f aca="false">IF(C185="","",IF(OR(C185="Purchase",C185="Fee",C185="Withdrawal"),-(H185+I185),H185-I185))</f>
        <v/>
      </c>
      <c r="K185" s="2"/>
      <c r="L185" s="2"/>
      <c r="M185" s="2"/>
    </row>
    <row r="186" customFormat="false" ht="15" hidden="false" customHeight="false" outlineLevel="0" collapsed="false">
      <c r="A186" s="2"/>
      <c r="B186" s="11"/>
      <c r="C186" s="2"/>
      <c r="D186" s="2"/>
      <c r="E186" s="2"/>
      <c r="F186" s="2"/>
      <c r="G186" s="2"/>
      <c r="H186" s="23"/>
      <c r="I186" s="23"/>
      <c r="J186" s="23" t="str">
        <f aca="false">IF(C186="","",IF(OR(C186="Purchase",C186="Fee",C186="Withdrawal"),-(H186+I186),H186-I186))</f>
        <v/>
      </c>
      <c r="K186" s="2"/>
      <c r="L186" s="2"/>
      <c r="M186" s="2"/>
    </row>
    <row r="187" customFormat="false" ht="15" hidden="false" customHeight="false" outlineLevel="0" collapsed="false">
      <c r="A187" s="2"/>
      <c r="B187" s="11"/>
      <c r="C187" s="2"/>
      <c r="D187" s="2"/>
      <c r="E187" s="2"/>
      <c r="F187" s="2"/>
      <c r="G187" s="2"/>
      <c r="H187" s="23"/>
      <c r="I187" s="23"/>
      <c r="J187" s="23" t="str">
        <f aca="false">IF(C187="","",IF(OR(C187="Purchase",C187="Fee",C187="Withdrawal"),-(H187+I187),H187-I187))</f>
        <v/>
      </c>
      <c r="K187" s="2"/>
      <c r="L187" s="2"/>
      <c r="M187" s="2"/>
    </row>
    <row r="188" customFormat="false" ht="15" hidden="false" customHeight="false" outlineLevel="0" collapsed="false">
      <c r="A188" s="2"/>
      <c r="B188" s="11"/>
      <c r="C188" s="2"/>
      <c r="D188" s="2"/>
      <c r="E188" s="2"/>
      <c r="F188" s="2"/>
      <c r="G188" s="2"/>
      <c r="H188" s="23"/>
      <c r="I188" s="23"/>
      <c r="J188" s="23" t="str">
        <f aca="false">IF(C188="","",IF(OR(C188="Purchase",C188="Fee",C188="Withdrawal"),-(H188+I188),H188-I188))</f>
        <v/>
      </c>
      <c r="K188" s="2"/>
      <c r="L188" s="2"/>
      <c r="M188" s="2"/>
    </row>
    <row r="189" customFormat="false" ht="15" hidden="false" customHeight="false" outlineLevel="0" collapsed="false">
      <c r="A189" s="2"/>
      <c r="B189" s="11"/>
      <c r="C189" s="2"/>
      <c r="D189" s="2"/>
      <c r="E189" s="2"/>
      <c r="F189" s="2"/>
      <c r="G189" s="2"/>
      <c r="H189" s="23"/>
      <c r="I189" s="23"/>
      <c r="J189" s="23" t="str">
        <f aca="false">IF(C189="","",IF(OR(C189="Purchase",C189="Fee",C189="Withdrawal"),-(H189+I189),H189-I189))</f>
        <v/>
      </c>
      <c r="K189" s="2"/>
      <c r="L189" s="2"/>
      <c r="M189" s="2"/>
    </row>
    <row r="190" customFormat="false" ht="15" hidden="false" customHeight="false" outlineLevel="0" collapsed="false">
      <c r="A190" s="2"/>
      <c r="B190" s="11"/>
      <c r="C190" s="2"/>
      <c r="D190" s="2"/>
      <c r="E190" s="2"/>
      <c r="F190" s="2"/>
      <c r="G190" s="2"/>
      <c r="H190" s="23"/>
      <c r="I190" s="23"/>
      <c r="J190" s="23" t="str">
        <f aca="false">IF(C190="","",IF(OR(C190="Purchase",C190="Fee",C190="Withdrawal"),-(H190+I190),H190-I190))</f>
        <v/>
      </c>
      <c r="K190" s="2"/>
      <c r="L190" s="2"/>
      <c r="M190" s="2"/>
    </row>
    <row r="191" customFormat="false" ht="15" hidden="false" customHeight="false" outlineLevel="0" collapsed="false">
      <c r="A191" s="2"/>
      <c r="B191" s="11"/>
      <c r="C191" s="2"/>
      <c r="D191" s="2"/>
      <c r="E191" s="2"/>
      <c r="F191" s="2"/>
      <c r="G191" s="2"/>
      <c r="H191" s="23"/>
      <c r="I191" s="23"/>
      <c r="J191" s="23" t="str">
        <f aca="false">IF(C191="","",IF(OR(C191="Purchase",C191="Fee",C191="Withdrawal"),-(H191+I191),H191-I191))</f>
        <v/>
      </c>
      <c r="K191" s="2"/>
      <c r="L191" s="2"/>
      <c r="M191" s="2"/>
    </row>
    <row r="192" customFormat="false" ht="15" hidden="false" customHeight="false" outlineLevel="0" collapsed="false">
      <c r="A192" s="2"/>
      <c r="B192" s="11"/>
      <c r="C192" s="2"/>
      <c r="D192" s="2"/>
      <c r="E192" s="2"/>
      <c r="F192" s="2"/>
      <c r="G192" s="2"/>
      <c r="H192" s="23"/>
      <c r="I192" s="23"/>
      <c r="J192" s="23" t="str">
        <f aca="false">IF(C192="","",IF(OR(C192="Purchase",C192="Fee",C192="Withdrawal"),-(H192+I192),H192-I192))</f>
        <v/>
      </c>
      <c r="K192" s="2"/>
      <c r="L192" s="2"/>
      <c r="M192" s="2"/>
    </row>
    <row r="193" customFormat="false" ht="15" hidden="false" customHeight="false" outlineLevel="0" collapsed="false">
      <c r="A193" s="2"/>
      <c r="B193" s="11"/>
      <c r="C193" s="2"/>
      <c r="D193" s="2"/>
      <c r="E193" s="2"/>
      <c r="F193" s="2"/>
      <c r="G193" s="2"/>
      <c r="H193" s="23"/>
      <c r="I193" s="23"/>
      <c r="J193" s="23" t="str">
        <f aca="false">IF(C193="","",IF(OR(C193="Purchase",C193="Fee",C193="Withdrawal"),-(H193+I193),H193-I193))</f>
        <v/>
      </c>
      <c r="K193" s="2"/>
      <c r="L193" s="2"/>
      <c r="M193" s="2"/>
    </row>
    <row r="194" customFormat="false" ht="15" hidden="false" customHeight="false" outlineLevel="0" collapsed="false">
      <c r="A194" s="2"/>
      <c r="B194" s="11"/>
      <c r="C194" s="2"/>
      <c r="D194" s="2"/>
      <c r="E194" s="2"/>
      <c r="F194" s="2"/>
      <c r="G194" s="2"/>
      <c r="H194" s="23"/>
      <c r="I194" s="23"/>
      <c r="J194" s="23" t="str">
        <f aca="false">IF(C194="","",IF(OR(C194="Purchase",C194="Fee",C194="Withdrawal"),-(H194+I194),H194-I194))</f>
        <v/>
      </c>
      <c r="K194" s="2"/>
      <c r="L194" s="2"/>
      <c r="M194" s="2"/>
    </row>
    <row r="195" customFormat="false" ht="15" hidden="false" customHeight="false" outlineLevel="0" collapsed="false">
      <c r="A195" s="2"/>
      <c r="B195" s="11"/>
      <c r="C195" s="2"/>
      <c r="D195" s="2"/>
      <c r="E195" s="2"/>
      <c r="F195" s="2"/>
      <c r="G195" s="2"/>
      <c r="H195" s="23"/>
      <c r="I195" s="23"/>
      <c r="J195" s="23" t="str">
        <f aca="false">IF(C195="","",IF(OR(C195="Purchase",C195="Fee",C195="Withdrawal"),-(H195+I195),H195-I195))</f>
        <v/>
      </c>
      <c r="K195" s="2"/>
      <c r="L195" s="2"/>
      <c r="M195" s="2"/>
    </row>
    <row r="196" customFormat="false" ht="15" hidden="false" customHeight="false" outlineLevel="0" collapsed="false">
      <c r="A196" s="2"/>
      <c r="B196" s="11"/>
      <c r="C196" s="2"/>
      <c r="D196" s="2"/>
      <c r="E196" s="2"/>
      <c r="F196" s="2"/>
      <c r="G196" s="2"/>
      <c r="H196" s="23"/>
      <c r="I196" s="23"/>
      <c r="J196" s="23" t="str">
        <f aca="false">IF(C196="","",IF(OR(C196="Purchase",C196="Fee",C196="Withdrawal"),-(H196+I196),H196-I196))</f>
        <v/>
      </c>
      <c r="K196" s="2"/>
      <c r="L196" s="2"/>
      <c r="M196" s="2"/>
    </row>
    <row r="197" customFormat="false" ht="15" hidden="false" customHeight="false" outlineLevel="0" collapsed="false">
      <c r="A197" s="2"/>
      <c r="B197" s="11"/>
      <c r="C197" s="2"/>
      <c r="D197" s="2"/>
      <c r="E197" s="2"/>
      <c r="F197" s="2"/>
      <c r="G197" s="2"/>
      <c r="H197" s="23"/>
      <c r="I197" s="23"/>
      <c r="J197" s="23" t="str">
        <f aca="false">IF(C197="","",IF(OR(C197="Purchase",C197="Fee",C197="Withdrawal"),-(H197+I197),H197-I197))</f>
        <v/>
      </c>
      <c r="K197" s="2"/>
      <c r="L197" s="2"/>
      <c r="M197" s="2"/>
    </row>
    <row r="198" customFormat="false" ht="15" hidden="false" customHeight="false" outlineLevel="0" collapsed="false">
      <c r="A198" s="2"/>
      <c r="B198" s="11"/>
      <c r="C198" s="2"/>
      <c r="D198" s="2"/>
      <c r="E198" s="2"/>
      <c r="F198" s="2"/>
      <c r="G198" s="2"/>
      <c r="H198" s="23"/>
      <c r="I198" s="23"/>
      <c r="J198" s="23" t="str">
        <f aca="false">IF(C198="","",IF(OR(C198="Purchase",C198="Fee",C198="Withdrawal"),-(H198+I198),H198-I198))</f>
        <v/>
      </c>
      <c r="K198" s="2"/>
      <c r="L198" s="2"/>
      <c r="M198" s="2"/>
    </row>
    <row r="199" customFormat="false" ht="15" hidden="false" customHeight="false" outlineLevel="0" collapsed="false">
      <c r="A199" s="2"/>
      <c r="B199" s="11"/>
      <c r="C199" s="2"/>
      <c r="D199" s="2"/>
      <c r="E199" s="2"/>
      <c r="F199" s="2"/>
      <c r="G199" s="2"/>
      <c r="H199" s="23"/>
      <c r="I199" s="23"/>
      <c r="J199" s="23" t="str">
        <f aca="false">IF(C199="","",IF(OR(C199="Purchase",C199="Fee",C199="Withdrawal"),-(H199+I199),H199-I199))</f>
        <v/>
      </c>
      <c r="K199" s="2"/>
      <c r="L199" s="2"/>
      <c r="M199" s="2"/>
    </row>
    <row r="200" customFormat="false" ht="15" hidden="false" customHeight="false" outlineLevel="0" collapsed="false">
      <c r="A200" s="2"/>
      <c r="B200" s="11"/>
      <c r="C200" s="2"/>
      <c r="D200" s="2"/>
      <c r="E200" s="2"/>
      <c r="F200" s="2"/>
      <c r="G200" s="2"/>
      <c r="H200" s="23"/>
      <c r="I200" s="23"/>
      <c r="J200" s="23" t="str">
        <f aca="false">IF(C200="","",IF(OR(C200="Purchase",C200="Fee",C200="Withdrawal"),-(H200+I200),H200-I200))</f>
        <v/>
      </c>
      <c r="K200" s="2"/>
      <c r="L200" s="2"/>
      <c r="M200" s="2"/>
    </row>
    <row r="201" customFormat="false" ht="15" hidden="false" customHeight="false" outlineLevel="0" collapsed="false">
      <c r="A201" s="2"/>
      <c r="B201" s="11"/>
      <c r="C201" s="2"/>
      <c r="D201" s="2"/>
      <c r="E201" s="2"/>
      <c r="F201" s="2"/>
      <c r="G201" s="2"/>
      <c r="H201" s="23"/>
      <c r="I201" s="23"/>
      <c r="J201" s="23" t="str">
        <f aca="false">IF(C201="","",IF(OR(C201="Purchase",C201="Fee",C201="Withdrawal"),-(H201+I201),H201-I201))</f>
        <v/>
      </c>
      <c r="K201" s="2"/>
      <c r="L201" s="2"/>
      <c r="M201" s="2"/>
    </row>
    <row r="202" customFormat="false" ht="15" hidden="false" customHeight="false" outlineLevel="0" collapsed="false">
      <c r="A202" s="2"/>
      <c r="B202" s="11"/>
      <c r="C202" s="2"/>
      <c r="D202" s="2"/>
      <c r="E202" s="2"/>
      <c r="F202" s="2"/>
      <c r="G202" s="2"/>
      <c r="H202" s="23"/>
      <c r="I202" s="23"/>
      <c r="J202" s="23" t="str">
        <f aca="false">IF(C202="","",IF(OR(C202="Purchase",C202="Fee",C202="Withdrawal"),-(H202+I202),H202-I202))</f>
        <v/>
      </c>
      <c r="K202" s="2"/>
      <c r="L202" s="2"/>
      <c r="M202" s="2"/>
    </row>
    <row r="203" customFormat="false" ht="15" hidden="false" customHeight="false" outlineLevel="0" collapsed="false">
      <c r="A203" s="2"/>
      <c r="B203" s="11"/>
      <c r="C203" s="2"/>
      <c r="D203" s="2"/>
      <c r="E203" s="2"/>
      <c r="F203" s="2"/>
      <c r="G203" s="2"/>
      <c r="H203" s="23"/>
      <c r="I203" s="23"/>
      <c r="J203" s="23" t="str">
        <f aca="false">IF(C203="","",IF(OR(C203="Purchase",C203="Fee",C203="Withdrawal"),-(H203+I203),H203-I203))</f>
        <v/>
      </c>
      <c r="K203" s="2"/>
      <c r="L203" s="2"/>
      <c r="M203" s="2"/>
    </row>
    <row r="204" customFormat="false" ht="15" hidden="false" customHeight="false" outlineLevel="0" collapsed="false">
      <c r="A204" s="2"/>
      <c r="B204" s="11"/>
      <c r="C204" s="2"/>
      <c r="D204" s="2"/>
      <c r="E204" s="2"/>
      <c r="F204" s="2"/>
      <c r="G204" s="2"/>
      <c r="H204" s="23"/>
      <c r="I204" s="23"/>
      <c r="J204" s="23" t="str">
        <f aca="false">IF(C204="","",IF(OR(C204="Purchase",C204="Fee",C204="Withdrawal"),-(H204+I204),H204-I204))</f>
        <v/>
      </c>
      <c r="K204" s="2"/>
      <c r="L204" s="2"/>
      <c r="M204" s="2"/>
    </row>
    <row r="205" customFormat="false" ht="15" hidden="false" customHeight="false" outlineLevel="0" collapsed="false">
      <c r="A205" s="2"/>
      <c r="B205" s="11"/>
      <c r="C205" s="2"/>
      <c r="D205" s="2"/>
      <c r="E205" s="2"/>
      <c r="F205" s="2"/>
      <c r="G205" s="2"/>
      <c r="H205" s="23"/>
      <c r="I205" s="23"/>
      <c r="J205" s="23" t="str">
        <f aca="false">IF(C205="","",IF(OR(C205="Purchase",C205="Fee",C205="Withdrawal"),-(H205+I205),H205-I205))</f>
        <v/>
      </c>
      <c r="K205" s="2"/>
      <c r="L205" s="2"/>
      <c r="M205" s="2"/>
    </row>
    <row r="206" customFormat="false" ht="15" hidden="false" customHeight="false" outlineLevel="0" collapsed="false">
      <c r="A206" s="2"/>
      <c r="B206" s="11"/>
      <c r="C206" s="2"/>
      <c r="D206" s="2"/>
      <c r="E206" s="2"/>
      <c r="F206" s="2"/>
      <c r="G206" s="2"/>
      <c r="H206" s="23"/>
      <c r="I206" s="23"/>
      <c r="J206" s="23" t="str">
        <f aca="false">IF(C206="","",IF(OR(C206="Purchase",C206="Fee",C206="Withdrawal"),-(H206+I206),H206-I206))</f>
        <v/>
      </c>
      <c r="K206" s="2"/>
      <c r="L206" s="2"/>
      <c r="M206" s="2"/>
    </row>
    <row r="207" customFormat="false" ht="15" hidden="false" customHeight="false" outlineLevel="0" collapsed="false">
      <c r="A207" s="2"/>
      <c r="B207" s="11"/>
      <c r="C207" s="2"/>
      <c r="D207" s="2"/>
      <c r="E207" s="2"/>
      <c r="F207" s="2"/>
      <c r="G207" s="2"/>
      <c r="H207" s="23"/>
      <c r="I207" s="23"/>
      <c r="J207" s="23" t="str">
        <f aca="false">IF(C207="","",IF(OR(C207="Purchase",C207="Fee",C207="Withdrawal"),-(H207+I207),H207-I207))</f>
        <v/>
      </c>
      <c r="K207" s="2"/>
      <c r="L207" s="2"/>
      <c r="M207" s="2"/>
    </row>
    <row r="208" customFormat="false" ht="15" hidden="false" customHeight="false" outlineLevel="0" collapsed="false">
      <c r="A208" s="2"/>
      <c r="B208" s="11"/>
      <c r="C208" s="2"/>
      <c r="D208" s="2"/>
      <c r="E208" s="2"/>
      <c r="F208" s="2"/>
      <c r="G208" s="2"/>
      <c r="H208" s="23"/>
      <c r="I208" s="23"/>
      <c r="J208" s="23" t="str">
        <f aca="false">IF(C208="","",IF(OR(C208="Purchase",C208="Fee",C208="Withdrawal"),-(H208+I208),H208-I208))</f>
        <v/>
      </c>
      <c r="K208" s="2"/>
      <c r="L208" s="2"/>
      <c r="M208" s="2"/>
    </row>
    <row r="209" customFormat="false" ht="15" hidden="false" customHeight="false" outlineLevel="0" collapsed="false">
      <c r="A209" s="2"/>
      <c r="B209" s="11"/>
      <c r="C209" s="2"/>
      <c r="D209" s="2"/>
      <c r="E209" s="2"/>
      <c r="F209" s="2"/>
      <c r="G209" s="2"/>
      <c r="H209" s="23"/>
      <c r="I209" s="23"/>
      <c r="J209" s="23" t="str">
        <f aca="false">IF(C209="","",IF(OR(C209="Purchase",C209="Fee",C209="Withdrawal"),-(H209+I209),H209-I209))</f>
        <v/>
      </c>
      <c r="K209" s="2"/>
      <c r="L209" s="2"/>
      <c r="M209" s="2"/>
    </row>
    <row r="210" customFormat="false" ht="15" hidden="false" customHeight="false" outlineLevel="0" collapsed="false">
      <c r="A210" s="2"/>
      <c r="B210" s="11"/>
      <c r="C210" s="2"/>
      <c r="D210" s="2"/>
      <c r="E210" s="2"/>
      <c r="F210" s="2"/>
      <c r="G210" s="2"/>
      <c r="H210" s="23"/>
      <c r="I210" s="23"/>
      <c r="J210" s="23" t="str">
        <f aca="false">IF(C210="","",IF(OR(C210="Purchase",C210="Fee",C210="Withdrawal"),-(H210+I210),H210-I210))</f>
        <v/>
      </c>
      <c r="K210" s="2"/>
      <c r="L210" s="2"/>
      <c r="M210" s="2"/>
    </row>
    <row r="211" customFormat="false" ht="15" hidden="false" customHeight="false" outlineLevel="0" collapsed="false">
      <c r="A211" s="2"/>
      <c r="B211" s="11"/>
      <c r="C211" s="2"/>
      <c r="D211" s="2"/>
      <c r="E211" s="2"/>
      <c r="F211" s="2"/>
      <c r="G211" s="2"/>
      <c r="H211" s="23"/>
      <c r="I211" s="23"/>
      <c r="J211" s="23" t="str">
        <f aca="false">IF(C211="","",IF(OR(C211="Purchase",C211="Fee",C211="Withdrawal"),-(H211+I211),H211-I211))</f>
        <v/>
      </c>
      <c r="K211" s="2"/>
      <c r="L211" s="2"/>
      <c r="M211" s="2"/>
    </row>
    <row r="212" customFormat="false" ht="15" hidden="false" customHeight="false" outlineLevel="0" collapsed="false">
      <c r="A212" s="2"/>
      <c r="B212" s="11"/>
      <c r="C212" s="2"/>
      <c r="D212" s="2"/>
      <c r="E212" s="2"/>
      <c r="F212" s="2"/>
      <c r="G212" s="2"/>
      <c r="H212" s="23"/>
      <c r="I212" s="23"/>
      <c r="J212" s="23" t="str">
        <f aca="false">IF(C212="","",IF(OR(C212="Purchase",C212="Fee",C212="Withdrawal"),-(H212+I212),H212-I212))</f>
        <v/>
      </c>
      <c r="K212" s="2"/>
      <c r="L212" s="2"/>
      <c r="M212" s="2"/>
    </row>
    <row r="213" customFormat="false" ht="15" hidden="false" customHeight="false" outlineLevel="0" collapsed="false">
      <c r="A213" s="2"/>
      <c r="B213" s="11"/>
      <c r="C213" s="2"/>
      <c r="D213" s="2"/>
      <c r="E213" s="2"/>
      <c r="F213" s="2"/>
      <c r="G213" s="2"/>
      <c r="H213" s="23"/>
      <c r="I213" s="23"/>
      <c r="J213" s="23" t="str">
        <f aca="false">IF(C213="","",IF(OR(C213="Purchase",C213="Fee",C213="Withdrawal"),-(H213+I213),H213-I213))</f>
        <v/>
      </c>
      <c r="K213" s="2"/>
      <c r="L213" s="2"/>
      <c r="M213" s="2"/>
    </row>
    <row r="214" customFormat="false" ht="15" hidden="false" customHeight="false" outlineLevel="0" collapsed="false">
      <c r="A214" s="2"/>
      <c r="B214" s="11"/>
      <c r="C214" s="2"/>
      <c r="D214" s="2"/>
      <c r="E214" s="2"/>
      <c r="F214" s="2"/>
      <c r="G214" s="2"/>
      <c r="H214" s="23"/>
      <c r="I214" s="23"/>
      <c r="J214" s="23" t="str">
        <f aca="false">IF(C214="","",IF(OR(C214="Purchase",C214="Fee",C214="Withdrawal"),-(H214+I214),H214-I214))</f>
        <v/>
      </c>
      <c r="K214" s="2"/>
      <c r="L214" s="2"/>
      <c r="M214" s="2"/>
    </row>
    <row r="215" customFormat="false" ht="15" hidden="false" customHeight="false" outlineLevel="0" collapsed="false">
      <c r="A215" s="2"/>
      <c r="B215" s="11"/>
      <c r="C215" s="2"/>
      <c r="D215" s="2"/>
      <c r="E215" s="2"/>
      <c r="F215" s="2"/>
      <c r="G215" s="2"/>
      <c r="H215" s="23"/>
      <c r="I215" s="23"/>
      <c r="J215" s="23" t="str">
        <f aca="false">IF(C215="","",IF(OR(C215="Purchase",C215="Fee",C215="Withdrawal"),-(H215+I215),H215-I215))</f>
        <v/>
      </c>
      <c r="K215" s="2"/>
      <c r="L215" s="2"/>
      <c r="M215" s="2"/>
    </row>
    <row r="216" customFormat="false" ht="15" hidden="false" customHeight="false" outlineLevel="0" collapsed="false">
      <c r="A216" s="2"/>
      <c r="B216" s="11"/>
      <c r="C216" s="2"/>
      <c r="D216" s="2"/>
      <c r="E216" s="2"/>
      <c r="F216" s="2"/>
      <c r="G216" s="2"/>
      <c r="H216" s="23"/>
      <c r="I216" s="23"/>
      <c r="J216" s="23" t="str">
        <f aca="false">IF(C216="","",IF(OR(C216="Purchase",C216="Fee",C216="Withdrawal"),-(H216+I216),H216-I216))</f>
        <v/>
      </c>
      <c r="K216" s="2"/>
      <c r="L216" s="2"/>
      <c r="M216" s="2"/>
    </row>
    <row r="217" customFormat="false" ht="15" hidden="false" customHeight="false" outlineLevel="0" collapsed="false">
      <c r="A217" s="2"/>
      <c r="B217" s="11"/>
      <c r="C217" s="2"/>
      <c r="D217" s="2"/>
      <c r="E217" s="2"/>
      <c r="F217" s="2"/>
      <c r="G217" s="2"/>
      <c r="H217" s="23"/>
      <c r="I217" s="23"/>
      <c r="J217" s="23" t="str">
        <f aca="false">IF(C217="","",IF(OR(C217="Purchase",C217="Fee",C217="Withdrawal"),-(H217+I217),H217-I217))</f>
        <v/>
      </c>
      <c r="K217" s="2"/>
      <c r="L217" s="2"/>
      <c r="M217" s="2"/>
    </row>
    <row r="218" customFormat="false" ht="15" hidden="false" customHeight="false" outlineLevel="0" collapsed="false">
      <c r="A218" s="2"/>
      <c r="B218" s="11"/>
      <c r="C218" s="2"/>
      <c r="D218" s="2"/>
      <c r="E218" s="2"/>
      <c r="F218" s="2"/>
      <c r="G218" s="2"/>
      <c r="H218" s="23"/>
      <c r="I218" s="23"/>
      <c r="J218" s="23" t="str">
        <f aca="false">IF(C218="","",IF(OR(C218="Purchase",C218="Fee",C218="Withdrawal"),-(H218+I218),H218-I218))</f>
        <v/>
      </c>
      <c r="K218" s="2"/>
      <c r="L218" s="2"/>
      <c r="M218" s="2"/>
    </row>
    <row r="219" customFormat="false" ht="15" hidden="false" customHeight="false" outlineLevel="0" collapsed="false">
      <c r="A219" s="2"/>
      <c r="B219" s="11"/>
      <c r="C219" s="2"/>
      <c r="D219" s="2"/>
      <c r="E219" s="2"/>
      <c r="F219" s="2"/>
      <c r="G219" s="2"/>
      <c r="H219" s="23"/>
      <c r="I219" s="23"/>
      <c r="J219" s="23" t="str">
        <f aca="false">IF(C219="","",IF(OR(C219="Purchase",C219="Fee",C219="Withdrawal"),-(H219+I219),H219-I219))</f>
        <v/>
      </c>
      <c r="K219" s="2"/>
      <c r="L219" s="2"/>
      <c r="M219" s="2"/>
    </row>
    <row r="220" customFormat="false" ht="15" hidden="false" customHeight="false" outlineLevel="0" collapsed="false">
      <c r="A220" s="2"/>
      <c r="B220" s="11"/>
      <c r="C220" s="2"/>
      <c r="D220" s="2"/>
      <c r="E220" s="2"/>
      <c r="F220" s="2"/>
      <c r="G220" s="2"/>
      <c r="H220" s="23"/>
      <c r="I220" s="23"/>
      <c r="J220" s="23" t="str">
        <f aca="false">IF(C220="","",IF(OR(C220="Purchase",C220="Fee",C220="Withdrawal"),-(H220+I220),H220-I220))</f>
        <v/>
      </c>
      <c r="K220" s="2"/>
      <c r="L220" s="2"/>
      <c r="M220" s="2"/>
    </row>
    <row r="221" customFormat="false" ht="15" hidden="false" customHeight="false" outlineLevel="0" collapsed="false">
      <c r="A221" s="2"/>
      <c r="B221" s="11"/>
      <c r="C221" s="2"/>
      <c r="D221" s="2"/>
      <c r="E221" s="2"/>
      <c r="F221" s="2"/>
      <c r="G221" s="2"/>
      <c r="H221" s="23"/>
      <c r="I221" s="23"/>
      <c r="J221" s="23" t="str">
        <f aca="false">IF(C221="","",IF(OR(C221="Purchase",C221="Fee",C221="Withdrawal"),-(H221+I221),H221-I221))</f>
        <v/>
      </c>
      <c r="K221" s="2"/>
      <c r="L221" s="2"/>
      <c r="M221" s="2"/>
    </row>
    <row r="222" customFormat="false" ht="15" hidden="false" customHeight="false" outlineLevel="0" collapsed="false">
      <c r="A222" s="2"/>
      <c r="B222" s="11"/>
      <c r="C222" s="2"/>
      <c r="D222" s="2"/>
      <c r="E222" s="2"/>
      <c r="F222" s="2"/>
      <c r="G222" s="2"/>
      <c r="H222" s="23"/>
      <c r="I222" s="23"/>
      <c r="J222" s="23" t="str">
        <f aca="false">IF(C222="","",IF(OR(C222="Purchase",C222="Fee",C222="Withdrawal"),-(H222+I222),H222-I222))</f>
        <v/>
      </c>
      <c r="K222" s="2"/>
      <c r="L222" s="2"/>
      <c r="M222" s="2"/>
    </row>
    <row r="223" customFormat="false" ht="15" hidden="false" customHeight="false" outlineLevel="0" collapsed="false">
      <c r="A223" s="2"/>
      <c r="B223" s="11"/>
      <c r="C223" s="2"/>
      <c r="D223" s="2"/>
      <c r="E223" s="2"/>
      <c r="F223" s="2"/>
      <c r="G223" s="2"/>
      <c r="H223" s="23"/>
      <c r="I223" s="23"/>
      <c r="J223" s="23" t="str">
        <f aca="false">IF(C223="","",IF(OR(C223="Purchase",C223="Fee",C223="Withdrawal"),-(H223+I223),H223-I223))</f>
        <v/>
      </c>
      <c r="K223" s="2"/>
      <c r="L223" s="2"/>
      <c r="M223" s="2"/>
    </row>
    <row r="224" customFormat="false" ht="15" hidden="false" customHeight="false" outlineLevel="0" collapsed="false">
      <c r="A224" s="2"/>
      <c r="B224" s="11"/>
      <c r="C224" s="2"/>
      <c r="D224" s="2"/>
      <c r="E224" s="2"/>
      <c r="F224" s="2"/>
      <c r="G224" s="2"/>
      <c r="H224" s="23"/>
      <c r="I224" s="23"/>
      <c r="J224" s="23" t="str">
        <f aca="false">IF(C224="","",IF(OR(C224="Purchase",C224="Fee",C224="Withdrawal"),-(H224+I224),H224-I224))</f>
        <v/>
      </c>
      <c r="K224" s="2"/>
      <c r="L224" s="2"/>
      <c r="M224" s="2"/>
    </row>
    <row r="225" customFormat="false" ht="15" hidden="false" customHeight="false" outlineLevel="0" collapsed="false">
      <c r="A225" s="2"/>
      <c r="B225" s="11"/>
      <c r="C225" s="2"/>
      <c r="D225" s="2"/>
      <c r="E225" s="2"/>
      <c r="F225" s="2"/>
      <c r="G225" s="2"/>
      <c r="H225" s="23"/>
      <c r="I225" s="23"/>
      <c r="J225" s="23" t="str">
        <f aca="false">IF(C225="","",IF(OR(C225="Purchase",C225="Fee",C225="Withdrawal"),-(H225+I225),H225-I225))</f>
        <v/>
      </c>
      <c r="K225" s="2"/>
      <c r="L225" s="2"/>
      <c r="M225" s="2"/>
    </row>
    <row r="226" customFormat="false" ht="15" hidden="false" customHeight="false" outlineLevel="0" collapsed="false">
      <c r="A226" s="2"/>
      <c r="B226" s="11"/>
      <c r="C226" s="2"/>
      <c r="D226" s="2"/>
      <c r="E226" s="2"/>
      <c r="F226" s="2"/>
      <c r="G226" s="2"/>
      <c r="H226" s="23"/>
      <c r="I226" s="23"/>
      <c r="J226" s="23" t="str">
        <f aca="false">IF(C226="","",IF(OR(C226="Purchase",C226="Fee",C226="Withdrawal"),-(H226+I226),H226-I226))</f>
        <v/>
      </c>
      <c r="K226" s="2"/>
      <c r="L226" s="2"/>
      <c r="M226" s="2"/>
    </row>
    <row r="227" customFormat="false" ht="15" hidden="false" customHeight="false" outlineLevel="0" collapsed="false">
      <c r="A227" s="2"/>
      <c r="B227" s="11"/>
      <c r="C227" s="2"/>
      <c r="D227" s="2"/>
      <c r="E227" s="2"/>
      <c r="F227" s="2"/>
      <c r="G227" s="2"/>
      <c r="H227" s="23"/>
      <c r="I227" s="23"/>
      <c r="J227" s="23" t="str">
        <f aca="false">IF(C227="","",IF(OR(C227="Purchase",C227="Fee",C227="Withdrawal"),-(H227+I227),H227-I227))</f>
        <v/>
      </c>
      <c r="K227" s="2"/>
      <c r="L227" s="2"/>
      <c r="M227" s="2"/>
    </row>
    <row r="228" customFormat="false" ht="15" hidden="false" customHeight="false" outlineLevel="0" collapsed="false">
      <c r="A228" s="2"/>
      <c r="B228" s="11"/>
      <c r="C228" s="2"/>
      <c r="D228" s="2"/>
      <c r="E228" s="2"/>
      <c r="F228" s="2"/>
      <c r="G228" s="2"/>
      <c r="H228" s="23"/>
      <c r="I228" s="23"/>
      <c r="J228" s="23" t="str">
        <f aca="false">IF(C228="","",IF(OR(C228="Purchase",C228="Fee",C228="Withdrawal"),-(H228+I228),H228-I228))</f>
        <v/>
      </c>
      <c r="K228" s="2"/>
      <c r="L228" s="2"/>
      <c r="M228" s="2"/>
    </row>
    <row r="229" customFormat="false" ht="15" hidden="false" customHeight="false" outlineLevel="0" collapsed="false">
      <c r="A229" s="2"/>
      <c r="B229" s="11"/>
      <c r="C229" s="2"/>
      <c r="D229" s="2"/>
      <c r="E229" s="2"/>
      <c r="F229" s="2"/>
      <c r="G229" s="2"/>
      <c r="H229" s="23"/>
      <c r="I229" s="23"/>
      <c r="J229" s="23" t="str">
        <f aca="false">IF(C229="","",IF(OR(C229="Purchase",C229="Fee",C229="Withdrawal"),-(H229+I229),H229-I229))</f>
        <v/>
      </c>
      <c r="K229" s="2"/>
      <c r="L229" s="2"/>
      <c r="M229" s="2"/>
    </row>
    <row r="230" customFormat="false" ht="15" hidden="false" customHeight="false" outlineLevel="0" collapsed="false">
      <c r="A230" s="2"/>
      <c r="B230" s="11"/>
      <c r="C230" s="2"/>
      <c r="D230" s="2"/>
      <c r="E230" s="2"/>
      <c r="F230" s="2"/>
      <c r="G230" s="2"/>
      <c r="H230" s="23"/>
      <c r="I230" s="23"/>
      <c r="J230" s="23" t="str">
        <f aca="false">IF(C230="","",IF(OR(C230="Purchase",C230="Fee",C230="Withdrawal"),-(H230+I230),H230-I230))</f>
        <v/>
      </c>
      <c r="K230" s="2"/>
      <c r="L230" s="2"/>
      <c r="M230" s="2"/>
    </row>
    <row r="231" customFormat="false" ht="15" hidden="false" customHeight="false" outlineLevel="0" collapsed="false">
      <c r="A231" s="2"/>
      <c r="B231" s="11"/>
      <c r="C231" s="2"/>
      <c r="D231" s="2"/>
      <c r="E231" s="2"/>
      <c r="F231" s="2"/>
      <c r="G231" s="2"/>
      <c r="H231" s="23"/>
      <c r="I231" s="23"/>
      <c r="J231" s="23" t="str">
        <f aca="false">IF(C231="","",IF(OR(C231="Purchase",C231="Fee",C231="Withdrawal"),-(H231+I231),H231-I231))</f>
        <v/>
      </c>
      <c r="K231" s="2"/>
      <c r="L231" s="2"/>
      <c r="M231" s="2"/>
    </row>
    <row r="232" customFormat="false" ht="15" hidden="false" customHeight="false" outlineLevel="0" collapsed="false">
      <c r="A232" s="2"/>
      <c r="B232" s="11"/>
      <c r="C232" s="2"/>
      <c r="D232" s="2"/>
      <c r="E232" s="2"/>
      <c r="F232" s="2"/>
      <c r="G232" s="2"/>
      <c r="H232" s="23"/>
      <c r="I232" s="23"/>
      <c r="J232" s="23" t="str">
        <f aca="false">IF(C232="","",IF(OR(C232="Purchase",C232="Fee",C232="Withdrawal"),-(H232+I232),H232-I232))</f>
        <v/>
      </c>
      <c r="K232" s="2"/>
      <c r="L232" s="2"/>
      <c r="M232" s="2"/>
    </row>
    <row r="233" customFormat="false" ht="15" hidden="false" customHeight="false" outlineLevel="0" collapsed="false">
      <c r="A233" s="2"/>
      <c r="B233" s="11"/>
      <c r="C233" s="2"/>
      <c r="D233" s="2"/>
      <c r="E233" s="2"/>
      <c r="F233" s="2"/>
      <c r="G233" s="2"/>
      <c r="H233" s="23"/>
      <c r="I233" s="23"/>
      <c r="J233" s="23" t="str">
        <f aca="false">IF(C233="","",IF(OR(C233="Purchase",C233="Fee",C233="Withdrawal"),-(H233+I233),H233-I233))</f>
        <v/>
      </c>
      <c r="K233" s="2"/>
      <c r="L233" s="2"/>
      <c r="M233" s="2"/>
    </row>
    <row r="234" customFormat="false" ht="15" hidden="false" customHeight="false" outlineLevel="0" collapsed="false">
      <c r="A234" s="2"/>
      <c r="B234" s="11"/>
      <c r="C234" s="2"/>
      <c r="D234" s="2"/>
      <c r="E234" s="2"/>
      <c r="F234" s="2"/>
      <c r="G234" s="2"/>
      <c r="H234" s="23"/>
      <c r="I234" s="23"/>
      <c r="J234" s="23" t="str">
        <f aca="false">IF(C234="","",IF(OR(C234="Purchase",C234="Fee",C234="Withdrawal"),-(H234+I234),H234-I234))</f>
        <v/>
      </c>
      <c r="K234" s="2"/>
      <c r="L234" s="2"/>
      <c r="M234" s="2"/>
    </row>
    <row r="235" customFormat="false" ht="15" hidden="false" customHeight="false" outlineLevel="0" collapsed="false">
      <c r="A235" s="2"/>
      <c r="B235" s="11"/>
      <c r="C235" s="2"/>
      <c r="D235" s="2"/>
      <c r="E235" s="2"/>
      <c r="F235" s="2"/>
      <c r="G235" s="2"/>
      <c r="H235" s="23"/>
      <c r="I235" s="23"/>
      <c r="J235" s="23" t="str">
        <f aca="false">IF(C235="","",IF(OR(C235="Purchase",C235="Fee",C235="Withdrawal"),-(H235+I235),H235-I235))</f>
        <v/>
      </c>
      <c r="K235" s="2"/>
      <c r="L235" s="2"/>
      <c r="M235" s="2"/>
    </row>
    <row r="236" customFormat="false" ht="15" hidden="false" customHeight="false" outlineLevel="0" collapsed="false">
      <c r="A236" s="2"/>
      <c r="B236" s="11"/>
      <c r="C236" s="2"/>
      <c r="D236" s="2"/>
      <c r="E236" s="2"/>
      <c r="F236" s="2"/>
      <c r="G236" s="2"/>
      <c r="H236" s="23"/>
      <c r="I236" s="23"/>
      <c r="J236" s="23" t="str">
        <f aca="false">IF(C236="","",IF(OR(C236="Purchase",C236="Fee",C236="Withdrawal"),-(H236+I236),H236-I236))</f>
        <v/>
      </c>
      <c r="K236" s="2"/>
      <c r="L236" s="2"/>
      <c r="M236" s="2"/>
    </row>
    <row r="237" customFormat="false" ht="15" hidden="false" customHeight="false" outlineLevel="0" collapsed="false">
      <c r="A237" s="2"/>
      <c r="B237" s="11"/>
      <c r="C237" s="2"/>
      <c r="D237" s="2"/>
      <c r="E237" s="2"/>
      <c r="F237" s="2"/>
      <c r="G237" s="2"/>
      <c r="H237" s="23"/>
      <c r="I237" s="23"/>
      <c r="J237" s="23" t="str">
        <f aca="false">IF(C237="","",IF(OR(C237="Purchase",C237="Fee",C237="Withdrawal"),-(H237+I237),H237-I237))</f>
        <v/>
      </c>
      <c r="K237" s="2"/>
      <c r="L237" s="2"/>
      <c r="M237" s="2"/>
    </row>
    <row r="238" customFormat="false" ht="15" hidden="false" customHeight="false" outlineLevel="0" collapsed="false">
      <c r="A238" s="2"/>
      <c r="B238" s="11"/>
      <c r="C238" s="2"/>
      <c r="D238" s="2"/>
      <c r="E238" s="2"/>
      <c r="F238" s="2"/>
      <c r="G238" s="2"/>
      <c r="H238" s="23"/>
      <c r="I238" s="23"/>
      <c r="J238" s="23" t="str">
        <f aca="false">IF(C238="","",IF(OR(C238="Purchase",C238="Fee",C238="Withdrawal"),-(H238+I238),H238-I238))</f>
        <v/>
      </c>
      <c r="K238" s="2"/>
      <c r="L238" s="2"/>
      <c r="M238" s="2"/>
    </row>
    <row r="239" customFormat="false" ht="15" hidden="false" customHeight="false" outlineLevel="0" collapsed="false">
      <c r="A239" s="2"/>
      <c r="B239" s="11"/>
      <c r="C239" s="2"/>
      <c r="D239" s="2"/>
      <c r="E239" s="2"/>
      <c r="F239" s="2"/>
      <c r="G239" s="2"/>
      <c r="H239" s="23"/>
      <c r="I239" s="23"/>
      <c r="J239" s="23" t="str">
        <f aca="false">IF(C239="","",IF(OR(C239="Purchase",C239="Fee",C239="Withdrawal"),-(H239+I239),H239-I239))</f>
        <v/>
      </c>
      <c r="K239" s="2"/>
      <c r="L239" s="2"/>
      <c r="M239" s="2"/>
    </row>
    <row r="240" customFormat="false" ht="15" hidden="false" customHeight="false" outlineLevel="0" collapsed="false">
      <c r="A240" s="2"/>
      <c r="B240" s="11"/>
      <c r="C240" s="2"/>
      <c r="D240" s="2"/>
      <c r="E240" s="2"/>
      <c r="F240" s="2"/>
      <c r="G240" s="2"/>
      <c r="H240" s="23"/>
      <c r="I240" s="23"/>
      <c r="J240" s="23" t="str">
        <f aca="false">IF(C240="","",IF(OR(C240="Purchase",C240="Fee",C240="Withdrawal"),-(H240+I240),H240-I240))</f>
        <v/>
      </c>
      <c r="K240" s="2"/>
      <c r="L240" s="2"/>
      <c r="M240" s="2"/>
    </row>
    <row r="241" customFormat="false" ht="15" hidden="false" customHeight="false" outlineLevel="0" collapsed="false">
      <c r="A241" s="2"/>
      <c r="B241" s="11"/>
      <c r="C241" s="2"/>
      <c r="D241" s="2"/>
      <c r="E241" s="2"/>
      <c r="F241" s="2"/>
      <c r="G241" s="2"/>
      <c r="H241" s="23"/>
      <c r="I241" s="23"/>
      <c r="J241" s="23" t="str">
        <f aca="false">IF(C241="","",IF(OR(C241="Purchase",C241="Fee",C241="Withdrawal"),-(H241+I241),H241-I241))</f>
        <v/>
      </c>
      <c r="K241" s="2"/>
      <c r="L241" s="2"/>
      <c r="M241" s="2"/>
    </row>
    <row r="242" customFormat="false" ht="15" hidden="false" customHeight="false" outlineLevel="0" collapsed="false">
      <c r="A242" s="2"/>
      <c r="B242" s="11"/>
      <c r="C242" s="2"/>
      <c r="D242" s="2"/>
      <c r="E242" s="2"/>
      <c r="F242" s="2"/>
      <c r="G242" s="2"/>
      <c r="H242" s="23"/>
      <c r="I242" s="23"/>
      <c r="J242" s="23" t="str">
        <f aca="false">IF(C242="","",IF(OR(C242="Purchase",C242="Fee",C242="Withdrawal"),-(H242+I242),H242-I242))</f>
        <v/>
      </c>
      <c r="K242" s="2"/>
      <c r="L242" s="2"/>
      <c r="M242" s="2"/>
    </row>
    <row r="243" customFormat="false" ht="15" hidden="false" customHeight="false" outlineLevel="0" collapsed="false">
      <c r="A243" s="2"/>
      <c r="B243" s="11"/>
      <c r="C243" s="2"/>
      <c r="D243" s="2"/>
      <c r="E243" s="2"/>
      <c r="F243" s="2"/>
      <c r="G243" s="2"/>
      <c r="H243" s="23"/>
      <c r="I243" s="23"/>
      <c r="J243" s="23" t="str">
        <f aca="false">IF(C243="","",IF(OR(C243="Purchase",C243="Fee",C243="Withdrawal"),-(H243+I243),H243-I243))</f>
        <v/>
      </c>
      <c r="K243" s="2"/>
      <c r="L243" s="2"/>
      <c r="M243" s="2"/>
    </row>
    <row r="244" customFormat="false" ht="15" hidden="false" customHeight="false" outlineLevel="0" collapsed="false">
      <c r="A244" s="2"/>
      <c r="B244" s="11"/>
      <c r="C244" s="2"/>
      <c r="D244" s="2"/>
      <c r="E244" s="2"/>
      <c r="F244" s="2"/>
      <c r="G244" s="2"/>
      <c r="H244" s="23"/>
      <c r="I244" s="23"/>
      <c r="J244" s="23" t="str">
        <f aca="false">IF(C244="","",IF(OR(C244="Purchase",C244="Fee",C244="Withdrawal"),-(H244+I244),H244-I244))</f>
        <v/>
      </c>
      <c r="K244" s="2"/>
      <c r="L244" s="2"/>
      <c r="M244" s="2"/>
    </row>
    <row r="245" customFormat="false" ht="15" hidden="false" customHeight="false" outlineLevel="0" collapsed="false">
      <c r="A245" s="2"/>
      <c r="B245" s="11"/>
      <c r="C245" s="2"/>
      <c r="D245" s="2"/>
      <c r="E245" s="2"/>
      <c r="F245" s="2"/>
      <c r="G245" s="2"/>
      <c r="H245" s="23"/>
      <c r="I245" s="23"/>
      <c r="J245" s="23" t="str">
        <f aca="false">IF(C245="","",IF(OR(C245="Purchase",C245="Fee",C245="Withdrawal"),-(H245+I245),H245-I245))</f>
        <v/>
      </c>
      <c r="K245" s="2"/>
      <c r="L245" s="2"/>
      <c r="M245" s="2"/>
    </row>
    <row r="246" customFormat="false" ht="15" hidden="false" customHeight="false" outlineLevel="0" collapsed="false">
      <c r="A246" s="2"/>
      <c r="B246" s="11"/>
      <c r="C246" s="2"/>
      <c r="D246" s="2"/>
      <c r="E246" s="2"/>
      <c r="F246" s="2"/>
      <c r="G246" s="2"/>
      <c r="H246" s="23"/>
      <c r="I246" s="23"/>
      <c r="J246" s="23" t="str">
        <f aca="false">IF(C246="","",IF(OR(C246="Purchase",C246="Fee",C246="Withdrawal"),-(H246+I246),H246-I246))</f>
        <v/>
      </c>
      <c r="K246" s="2"/>
      <c r="L246" s="2"/>
      <c r="M246" s="2"/>
    </row>
    <row r="247" customFormat="false" ht="15" hidden="false" customHeight="false" outlineLevel="0" collapsed="false">
      <c r="A247" s="2"/>
      <c r="B247" s="11"/>
      <c r="C247" s="2"/>
      <c r="D247" s="2"/>
      <c r="E247" s="2"/>
      <c r="F247" s="2"/>
      <c r="G247" s="2"/>
      <c r="H247" s="23"/>
      <c r="I247" s="23"/>
      <c r="J247" s="23" t="str">
        <f aca="false">IF(C247="","",IF(OR(C247="Purchase",C247="Fee",C247="Withdrawal"),-(H247+I247),H247-I247))</f>
        <v/>
      </c>
      <c r="K247" s="2"/>
      <c r="L247" s="2"/>
      <c r="M247" s="2"/>
    </row>
    <row r="248" customFormat="false" ht="15" hidden="false" customHeight="false" outlineLevel="0" collapsed="false">
      <c r="A248" s="2"/>
      <c r="B248" s="11"/>
      <c r="C248" s="2"/>
      <c r="D248" s="2"/>
      <c r="E248" s="2"/>
      <c r="F248" s="2"/>
      <c r="G248" s="2"/>
      <c r="H248" s="23"/>
      <c r="I248" s="23"/>
      <c r="J248" s="23" t="str">
        <f aca="false">IF(C248="","",IF(OR(C248="Purchase",C248="Fee",C248="Withdrawal"),-(H248+I248),H248-I248))</f>
        <v/>
      </c>
      <c r="K248" s="2"/>
      <c r="L248" s="2"/>
      <c r="M248" s="2"/>
    </row>
    <row r="249" customFormat="false" ht="15" hidden="false" customHeight="false" outlineLevel="0" collapsed="false">
      <c r="A249" s="2"/>
      <c r="B249" s="11"/>
      <c r="C249" s="2"/>
      <c r="D249" s="2"/>
      <c r="E249" s="2"/>
      <c r="F249" s="2"/>
      <c r="G249" s="2"/>
      <c r="H249" s="23"/>
      <c r="I249" s="23"/>
      <c r="J249" s="23" t="str">
        <f aca="false">IF(C249="","",IF(OR(C249="Purchase",C249="Fee",C249="Withdrawal"),-(H249+I249),H249-I249))</f>
        <v/>
      </c>
      <c r="K249" s="2"/>
      <c r="L249" s="2"/>
      <c r="M249" s="2"/>
    </row>
    <row r="250" customFormat="false" ht="15" hidden="false" customHeight="false" outlineLevel="0" collapsed="false">
      <c r="A250" s="2"/>
      <c r="B250" s="11"/>
      <c r="C250" s="2"/>
      <c r="D250" s="2"/>
      <c r="E250" s="2"/>
      <c r="F250" s="2"/>
      <c r="G250" s="2"/>
      <c r="H250" s="23"/>
      <c r="I250" s="23"/>
      <c r="J250" s="23" t="str">
        <f aca="false">IF(C250="","",IF(OR(C250="Purchase",C250="Fee",C250="Withdrawal"),-(H250+I250),H250-I250))</f>
        <v/>
      </c>
      <c r="K250" s="2"/>
      <c r="L250" s="2"/>
      <c r="M250" s="2"/>
    </row>
    <row r="251" customFormat="false" ht="15" hidden="false" customHeight="false" outlineLevel="0" collapsed="false">
      <c r="A251" s="2"/>
      <c r="B251" s="11"/>
      <c r="C251" s="2"/>
      <c r="D251" s="2"/>
      <c r="E251" s="2"/>
      <c r="F251" s="2"/>
      <c r="G251" s="2"/>
      <c r="H251" s="23"/>
      <c r="I251" s="23"/>
      <c r="J251" s="23" t="str">
        <f aca="false">IF(C251="","",IF(OR(C251="Purchase",C251="Fee",C251="Withdrawal"),-(H251+I251),H251-I251))</f>
        <v/>
      </c>
      <c r="K251" s="2"/>
      <c r="L251" s="2"/>
      <c r="M251" s="2"/>
    </row>
    <row r="252" customFormat="false" ht="15" hidden="false" customHeight="false" outlineLevel="0" collapsed="false">
      <c r="A252" s="2"/>
      <c r="B252" s="11"/>
      <c r="C252" s="2"/>
      <c r="D252" s="2"/>
      <c r="E252" s="2"/>
      <c r="F252" s="2"/>
      <c r="G252" s="2"/>
      <c r="H252" s="23"/>
      <c r="I252" s="23"/>
      <c r="J252" s="23" t="str">
        <f aca="false">IF(C252="","",IF(OR(C252="Purchase",C252="Fee",C252="Withdrawal"),-(H252+I252),H252-I252))</f>
        <v/>
      </c>
      <c r="K252" s="2"/>
      <c r="L252" s="2"/>
      <c r="M252" s="2"/>
    </row>
    <row r="253" customFormat="false" ht="15" hidden="false" customHeight="false" outlineLevel="0" collapsed="false">
      <c r="A253" s="2"/>
      <c r="B253" s="11"/>
      <c r="C253" s="2"/>
      <c r="D253" s="2"/>
      <c r="E253" s="2"/>
      <c r="F253" s="2"/>
      <c r="G253" s="2"/>
      <c r="H253" s="23"/>
      <c r="I253" s="23"/>
      <c r="J253" s="23" t="str">
        <f aca="false">IF(C253="","",IF(OR(C253="Purchase",C253="Fee",C253="Withdrawal"),-(H253+I253),H253-I253))</f>
        <v/>
      </c>
      <c r="K253" s="2"/>
      <c r="L253" s="2"/>
      <c r="M253" s="2"/>
    </row>
    <row r="254" customFormat="false" ht="15" hidden="false" customHeight="false" outlineLevel="0" collapsed="false">
      <c r="A254" s="2"/>
      <c r="B254" s="11"/>
      <c r="C254" s="2"/>
      <c r="D254" s="2"/>
      <c r="E254" s="2"/>
      <c r="F254" s="2"/>
      <c r="G254" s="2"/>
      <c r="H254" s="23"/>
      <c r="I254" s="23"/>
      <c r="J254" s="23" t="str">
        <f aca="false">IF(C254="","",IF(OR(C254="Purchase",C254="Fee",C254="Withdrawal"),-(H254+I254),H254-I254))</f>
        <v/>
      </c>
      <c r="K254" s="2"/>
      <c r="L254" s="2"/>
      <c r="M254" s="2"/>
    </row>
    <row r="255" customFormat="false" ht="15" hidden="false" customHeight="false" outlineLevel="0" collapsed="false">
      <c r="A255" s="2"/>
      <c r="B255" s="11"/>
      <c r="C255" s="2"/>
      <c r="D255" s="2"/>
      <c r="E255" s="2"/>
      <c r="F255" s="2"/>
      <c r="G255" s="2"/>
      <c r="H255" s="23"/>
      <c r="I255" s="23"/>
      <c r="J255" s="23" t="str">
        <f aca="false">IF(C255="","",IF(OR(C255="Purchase",C255="Fee",C255="Withdrawal"),-(H255+I255),H255-I255))</f>
        <v/>
      </c>
      <c r="K255" s="2"/>
      <c r="L255" s="2"/>
      <c r="M255" s="2"/>
    </row>
    <row r="256" customFormat="false" ht="15" hidden="false" customHeight="false" outlineLevel="0" collapsed="false">
      <c r="A256" s="2"/>
      <c r="B256" s="11"/>
      <c r="C256" s="2"/>
      <c r="D256" s="2"/>
      <c r="E256" s="2"/>
      <c r="F256" s="2"/>
      <c r="G256" s="2"/>
      <c r="H256" s="23"/>
      <c r="I256" s="23"/>
      <c r="J256" s="23" t="str">
        <f aca="false">IF(C256="","",IF(OR(C256="Purchase",C256="Fee",C256="Withdrawal"),-(H256+I256),H256-I256))</f>
        <v/>
      </c>
      <c r="K256" s="2"/>
      <c r="L256" s="2"/>
      <c r="M256" s="2"/>
    </row>
    <row r="257" customFormat="false" ht="15" hidden="false" customHeight="false" outlineLevel="0" collapsed="false">
      <c r="A257" s="2"/>
      <c r="B257" s="11"/>
      <c r="C257" s="2"/>
      <c r="D257" s="2"/>
      <c r="E257" s="2"/>
      <c r="F257" s="2"/>
      <c r="G257" s="2"/>
      <c r="H257" s="23"/>
      <c r="I257" s="23"/>
      <c r="J257" s="23" t="str">
        <f aca="false">IF(C257="","",IF(OR(C257="Purchase",C257="Fee",C257="Withdrawal"),-(H257+I257),H257-I257))</f>
        <v/>
      </c>
      <c r="K257" s="2"/>
      <c r="L257" s="2"/>
      <c r="M257" s="2"/>
    </row>
    <row r="258" customFormat="false" ht="15" hidden="false" customHeight="false" outlineLevel="0" collapsed="false">
      <c r="A258" s="2"/>
      <c r="B258" s="11"/>
      <c r="C258" s="2"/>
      <c r="D258" s="2"/>
      <c r="E258" s="2"/>
      <c r="F258" s="2"/>
      <c r="G258" s="2"/>
      <c r="H258" s="23"/>
      <c r="I258" s="23"/>
      <c r="J258" s="23" t="str">
        <f aca="false">IF(C258="","",IF(OR(C258="Purchase",C258="Fee",C258="Withdrawal"),-(H258+I258),H258-I258))</f>
        <v/>
      </c>
      <c r="K258" s="2"/>
      <c r="L258" s="2"/>
      <c r="M258" s="2"/>
    </row>
    <row r="259" customFormat="false" ht="15" hidden="false" customHeight="false" outlineLevel="0" collapsed="false">
      <c r="A259" s="2"/>
      <c r="B259" s="11"/>
      <c r="C259" s="2"/>
      <c r="D259" s="2"/>
      <c r="E259" s="2"/>
      <c r="F259" s="2"/>
      <c r="G259" s="2"/>
      <c r="H259" s="23"/>
      <c r="I259" s="23"/>
      <c r="J259" s="23" t="str">
        <f aca="false">IF(C259="","",IF(OR(C259="Purchase",C259="Fee",C259="Withdrawal"),-(H259+I259),H259-I259))</f>
        <v/>
      </c>
      <c r="K259" s="2"/>
      <c r="L259" s="2"/>
      <c r="M259" s="2"/>
    </row>
    <row r="260" customFormat="false" ht="15" hidden="false" customHeight="false" outlineLevel="0" collapsed="false">
      <c r="A260" s="2"/>
      <c r="B260" s="11"/>
      <c r="C260" s="2"/>
      <c r="D260" s="2"/>
      <c r="E260" s="2"/>
      <c r="F260" s="2"/>
      <c r="G260" s="2"/>
      <c r="H260" s="23"/>
      <c r="I260" s="23"/>
      <c r="J260" s="23" t="str">
        <f aca="false">IF(C260="","",IF(OR(C260="Purchase",C260="Fee",C260="Withdrawal"),-(H260+I260),H260-I260))</f>
        <v/>
      </c>
      <c r="K260" s="2"/>
      <c r="L260" s="2"/>
      <c r="M260" s="2"/>
    </row>
    <row r="261" customFormat="false" ht="15" hidden="false" customHeight="false" outlineLevel="0" collapsed="false">
      <c r="A261" s="2"/>
      <c r="B261" s="11"/>
      <c r="C261" s="2"/>
      <c r="D261" s="2"/>
      <c r="E261" s="2"/>
      <c r="F261" s="2"/>
      <c r="G261" s="2"/>
      <c r="H261" s="23"/>
      <c r="I261" s="23"/>
      <c r="J261" s="23" t="str">
        <f aca="false">IF(C261="","",IF(OR(C261="Purchase",C261="Fee",C261="Withdrawal"),-(H261+I261),H261-I261))</f>
        <v/>
      </c>
      <c r="K261" s="2"/>
      <c r="L261" s="2"/>
      <c r="M261" s="2"/>
    </row>
    <row r="262" customFormat="false" ht="15" hidden="false" customHeight="false" outlineLevel="0" collapsed="false">
      <c r="A262" s="2"/>
      <c r="B262" s="11"/>
      <c r="C262" s="2"/>
      <c r="D262" s="2"/>
      <c r="E262" s="2"/>
      <c r="F262" s="2"/>
      <c r="G262" s="2"/>
      <c r="H262" s="23"/>
      <c r="I262" s="23"/>
      <c r="J262" s="23" t="str">
        <f aca="false">IF(C262="","",IF(OR(C262="Purchase",C262="Fee",C262="Withdrawal"),-(H262+I262),H262-I262))</f>
        <v/>
      </c>
      <c r="K262" s="2"/>
      <c r="L262" s="2"/>
      <c r="M262" s="2"/>
    </row>
    <row r="263" customFormat="false" ht="15" hidden="false" customHeight="false" outlineLevel="0" collapsed="false">
      <c r="A263" s="2"/>
      <c r="B263" s="11"/>
      <c r="C263" s="2"/>
      <c r="D263" s="2"/>
      <c r="E263" s="2"/>
      <c r="F263" s="2"/>
      <c r="G263" s="2"/>
      <c r="H263" s="23"/>
      <c r="I263" s="23"/>
      <c r="J263" s="23" t="str">
        <f aca="false">IF(C263="","",IF(OR(C263="Purchase",C263="Fee",C263="Withdrawal"),-(H263+I263),H263-I263))</f>
        <v/>
      </c>
      <c r="K263" s="2"/>
      <c r="L263" s="2"/>
      <c r="M263" s="2"/>
    </row>
    <row r="264" customFormat="false" ht="15" hidden="false" customHeight="false" outlineLevel="0" collapsed="false">
      <c r="A264" s="2"/>
      <c r="B264" s="11"/>
      <c r="C264" s="2"/>
      <c r="D264" s="2"/>
      <c r="E264" s="2"/>
      <c r="F264" s="2"/>
      <c r="G264" s="2"/>
      <c r="H264" s="23"/>
      <c r="I264" s="23"/>
      <c r="J264" s="23" t="str">
        <f aca="false">IF(C264="","",IF(OR(C264="Purchase",C264="Fee",C264="Withdrawal"),-(H264+I264),H264-I264))</f>
        <v/>
      </c>
      <c r="K264" s="2"/>
      <c r="L264" s="2"/>
      <c r="M264" s="2"/>
    </row>
    <row r="265" customFormat="false" ht="15" hidden="false" customHeight="false" outlineLevel="0" collapsed="false">
      <c r="A265" s="2"/>
      <c r="B265" s="11"/>
      <c r="C265" s="2"/>
      <c r="D265" s="2"/>
      <c r="E265" s="2"/>
      <c r="F265" s="2"/>
      <c r="G265" s="2"/>
      <c r="H265" s="23"/>
      <c r="I265" s="23"/>
      <c r="J265" s="23" t="str">
        <f aca="false">IF(C265="","",IF(OR(C265="Purchase",C265="Fee",C265="Withdrawal"),-(H265+I265),H265-I265))</f>
        <v/>
      </c>
      <c r="K265" s="2"/>
      <c r="L265" s="2"/>
      <c r="M265" s="2"/>
    </row>
    <row r="266" customFormat="false" ht="15" hidden="false" customHeight="false" outlineLevel="0" collapsed="false">
      <c r="A266" s="2"/>
      <c r="B266" s="11"/>
      <c r="C266" s="2"/>
      <c r="D266" s="2"/>
      <c r="E266" s="2"/>
      <c r="F266" s="2"/>
      <c r="G266" s="2"/>
      <c r="H266" s="23"/>
      <c r="I266" s="23"/>
      <c r="J266" s="23" t="str">
        <f aca="false">IF(C266="","",IF(OR(C266="Purchase",C266="Fee",C266="Withdrawal"),-(H266+I266),H266-I266))</f>
        <v/>
      </c>
      <c r="K266" s="2"/>
      <c r="L266" s="2"/>
      <c r="M266" s="2"/>
    </row>
    <row r="267" customFormat="false" ht="15" hidden="false" customHeight="false" outlineLevel="0" collapsed="false">
      <c r="A267" s="2"/>
      <c r="B267" s="11"/>
      <c r="C267" s="2"/>
      <c r="D267" s="2"/>
      <c r="E267" s="2"/>
      <c r="F267" s="2"/>
      <c r="G267" s="2"/>
      <c r="H267" s="23"/>
      <c r="I267" s="23"/>
      <c r="J267" s="23" t="str">
        <f aca="false">IF(C267="","",IF(OR(C267="Purchase",C267="Fee",C267="Withdrawal"),-(H267+I267),H267-I267))</f>
        <v/>
      </c>
      <c r="K267" s="2"/>
      <c r="L267" s="2"/>
      <c r="M267" s="2"/>
    </row>
    <row r="268" customFormat="false" ht="15" hidden="false" customHeight="false" outlineLevel="0" collapsed="false">
      <c r="A268" s="2"/>
      <c r="B268" s="11"/>
      <c r="C268" s="2"/>
      <c r="D268" s="2"/>
      <c r="E268" s="2"/>
      <c r="F268" s="2"/>
      <c r="G268" s="2"/>
      <c r="H268" s="23"/>
      <c r="I268" s="23"/>
      <c r="J268" s="23" t="str">
        <f aca="false">IF(C268="","",IF(OR(C268="Purchase",C268="Fee",C268="Withdrawal"),-(H268+I268),H268-I268))</f>
        <v/>
      </c>
      <c r="K268" s="2"/>
      <c r="L268" s="2"/>
      <c r="M268" s="2"/>
    </row>
    <row r="269" customFormat="false" ht="15" hidden="false" customHeight="false" outlineLevel="0" collapsed="false">
      <c r="A269" s="2"/>
      <c r="B269" s="11"/>
      <c r="C269" s="2"/>
      <c r="D269" s="2"/>
      <c r="E269" s="2"/>
      <c r="F269" s="2"/>
      <c r="G269" s="2"/>
      <c r="H269" s="23"/>
      <c r="I269" s="23"/>
      <c r="J269" s="23" t="str">
        <f aca="false">IF(C269="","",IF(OR(C269="Purchase",C269="Fee",C269="Withdrawal"),-(H269+I269),H269-I269))</f>
        <v/>
      </c>
      <c r="K269" s="2"/>
      <c r="L269" s="2"/>
      <c r="M269" s="2"/>
    </row>
    <row r="270" customFormat="false" ht="15" hidden="false" customHeight="false" outlineLevel="0" collapsed="false">
      <c r="A270" s="2"/>
      <c r="B270" s="11"/>
      <c r="C270" s="2"/>
      <c r="D270" s="2"/>
      <c r="E270" s="2"/>
      <c r="F270" s="2"/>
      <c r="G270" s="2"/>
      <c r="H270" s="23"/>
      <c r="I270" s="23"/>
      <c r="J270" s="23" t="str">
        <f aca="false">IF(C270="","",IF(OR(C270="Purchase",C270="Fee",C270="Withdrawal"),-(H270+I270),H270-I270))</f>
        <v/>
      </c>
      <c r="K270" s="2"/>
      <c r="L270" s="2"/>
      <c r="M270" s="2"/>
    </row>
    <row r="271" customFormat="false" ht="15" hidden="false" customHeight="false" outlineLevel="0" collapsed="false">
      <c r="A271" s="2"/>
      <c r="B271" s="11"/>
      <c r="C271" s="2"/>
      <c r="D271" s="2"/>
      <c r="E271" s="2"/>
      <c r="F271" s="2"/>
      <c r="G271" s="2"/>
      <c r="H271" s="23"/>
      <c r="I271" s="23"/>
      <c r="J271" s="23" t="str">
        <f aca="false">IF(C271="","",IF(OR(C271="Purchase",C271="Fee",C271="Withdrawal"),-(H271+I271),H271-I271))</f>
        <v/>
      </c>
      <c r="K271" s="2"/>
      <c r="L271" s="2"/>
      <c r="M271" s="2"/>
    </row>
    <row r="272" customFormat="false" ht="15" hidden="false" customHeight="false" outlineLevel="0" collapsed="false">
      <c r="A272" s="2"/>
      <c r="B272" s="11"/>
      <c r="C272" s="2"/>
      <c r="D272" s="2"/>
      <c r="E272" s="2"/>
      <c r="F272" s="2"/>
      <c r="G272" s="2"/>
      <c r="H272" s="23"/>
      <c r="I272" s="23"/>
      <c r="J272" s="23" t="str">
        <f aca="false">IF(C272="","",IF(OR(C272="Purchase",C272="Fee",C272="Withdrawal"),-(H272+I272),H272-I272))</f>
        <v/>
      </c>
      <c r="K272" s="2"/>
      <c r="L272" s="2"/>
      <c r="M272" s="2"/>
    </row>
    <row r="273" customFormat="false" ht="15" hidden="false" customHeight="false" outlineLevel="0" collapsed="false">
      <c r="A273" s="2"/>
      <c r="B273" s="11"/>
      <c r="C273" s="2"/>
      <c r="D273" s="2"/>
      <c r="E273" s="2"/>
      <c r="F273" s="2"/>
      <c r="G273" s="2"/>
      <c r="H273" s="23"/>
      <c r="I273" s="23"/>
      <c r="J273" s="23" t="str">
        <f aca="false">IF(C273="","",IF(OR(C273="Purchase",C273="Fee",C273="Withdrawal"),-(H273+I273),H273-I273))</f>
        <v/>
      </c>
      <c r="K273" s="2"/>
      <c r="L273" s="2"/>
      <c r="M273" s="2"/>
    </row>
    <row r="274" customFormat="false" ht="15" hidden="false" customHeight="false" outlineLevel="0" collapsed="false">
      <c r="A274" s="2"/>
      <c r="B274" s="11"/>
      <c r="C274" s="2"/>
      <c r="D274" s="2"/>
      <c r="E274" s="2"/>
      <c r="F274" s="2"/>
      <c r="G274" s="2"/>
      <c r="H274" s="23"/>
      <c r="I274" s="23"/>
      <c r="J274" s="23" t="str">
        <f aca="false">IF(C274="","",IF(OR(C274="Purchase",C274="Fee",C274="Withdrawal"),-(H274+I274),H274-I274))</f>
        <v/>
      </c>
      <c r="K274" s="2"/>
      <c r="L274" s="2"/>
      <c r="M274" s="2"/>
    </row>
    <row r="275" customFormat="false" ht="15" hidden="false" customHeight="false" outlineLevel="0" collapsed="false">
      <c r="A275" s="2"/>
      <c r="B275" s="11"/>
      <c r="C275" s="2"/>
      <c r="D275" s="2"/>
      <c r="E275" s="2"/>
      <c r="F275" s="2"/>
      <c r="G275" s="2"/>
      <c r="H275" s="23"/>
      <c r="I275" s="23"/>
      <c r="J275" s="23" t="str">
        <f aca="false">IF(C275="","",IF(OR(C275="Purchase",C275="Fee",C275="Withdrawal"),-(H275+I275),H275-I275))</f>
        <v/>
      </c>
      <c r="K275" s="2"/>
      <c r="L275" s="2"/>
      <c r="M275" s="2"/>
    </row>
    <row r="276" customFormat="false" ht="15" hidden="false" customHeight="false" outlineLevel="0" collapsed="false">
      <c r="A276" s="2"/>
      <c r="B276" s="11"/>
      <c r="C276" s="2"/>
      <c r="D276" s="2"/>
      <c r="E276" s="2"/>
      <c r="F276" s="2"/>
      <c r="G276" s="2"/>
      <c r="H276" s="23"/>
      <c r="I276" s="23"/>
      <c r="J276" s="23" t="str">
        <f aca="false">IF(C276="","",IF(OR(C276="Purchase",C276="Fee",C276="Withdrawal"),-(H276+I276),H276-I276))</f>
        <v/>
      </c>
      <c r="K276" s="2"/>
      <c r="L276" s="2"/>
      <c r="M276" s="2"/>
    </row>
    <row r="277" customFormat="false" ht="15" hidden="false" customHeight="false" outlineLevel="0" collapsed="false">
      <c r="A277" s="2"/>
      <c r="B277" s="11"/>
      <c r="C277" s="2"/>
      <c r="D277" s="2"/>
      <c r="E277" s="2"/>
      <c r="F277" s="2"/>
      <c r="G277" s="2"/>
      <c r="H277" s="23"/>
      <c r="I277" s="23"/>
      <c r="J277" s="23" t="str">
        <f aca="false">IF(C277="","",IF(OR(C277="Purchase",C277="Fee",C277="Withdrawal"),-(H277+I277),H277-I277))</f>
        <v/>
      </c>
      <c r="K277" s="2"/>
      <c r="L277" s="2"/>
      <c r="M277" s="2"/>
    </row>
    <row r="278" customFormat="false" ht="15" hidden="false" customHeight="false" outlineLevel="0" collapsed="false">
      <c r="A278" s="2"/>
      <c r="B278" s="11"/>
      <c r="C278" s="2"/>
      <c r="D278" s="2"/>
      <c r="E278" s="2"/>
      <c r="F278" s="2"/>
      <c r="G278" s="2"/>
      <c r="H278" s="23"/>
      <c r="I278" s="23"/>
      <c r="J278" s="23" t="str">
        <f aca="false">IF(C278="","",IF(OR(C278="Purchase",C278="Fee",C278="Withdrawal"),-(H278+I278),H278-I278))</f>
        <v/>
      </c>
      <c r="K278" s="2"/>
      <c r="L278" s="2"/>
      <c r="M278" s="2"/>
    </row>
    <row r="279" customFormat="false" ht="15" hidden="false" customHeight="false" outlineLevel="0" collapsed="false">
      <c r="A279" s="2"/>
      <c r="B279" s="11"/>
      <c r="C279" s="2"/>
      <c r="D279" s="2"/>
      <c r="E279" s="2"/>
      <c r="F279" s="2"/>
      <c r="G279" s="2"/>
      <c r="H279" s="23"/>
      <c r="I279" s="23"/>
      <c r="J279" s="23" t="str">
        <f aca="false">IF(C279="","",IF(OR(C279="Purchase",C279="Fee",C279="Withdrawal"),-(H279+I279),H279-I279))</f>
        <v/>
      </c>
      <c r="K279" s="2"/>
      <c r="L279" s="2"/>
      <c r="M279" s="2"/>
    </row>
    <row r="280" customFormat="false" ht="15" hidden="false" customHeight="false" outlineLevel="0" collapsed="false">
      <c r="A280" s="2"/>
      <c r="B280" s="11"/>
      <c r="C280" s="2"/>
      <c r="D280" s="2"/>
      <c r="E280" s="2"/>
      <c r="F280" s="2"/>
      <c r="G280" s="2"/>
      <c r="H280" s="23"/>
      <c r="I280" s="23"/>
      <c r="J280" s="23" t="str">
        <f aca="false">IF(C280="","",IF(OR(C280="Purchase",C280="Fee",C280="Withdrawal"),-(H280+I280),H280-I280))</f>
        <v/>
      </c>
      <c r="K280" s="2"/>
      <c r="L280" s="2"/>
      <c r="M280" s="2"/>
    </row>
    <row r="281" customFormat="false" ht="15" hidden="false" customHeight="false" outlineLevel="0" collapsed="false">
      <c r="A281" s="2"/>
      <c r="B281" s="11"/>
      <c r="C281" s="2"/>
      <c r="D281" s="2"/>
      <c r="E281" s="2"/>
      <c r="F281" s="2"/>
      <c r="G281" s="2"/>
      <c r="H281" s="23"/>
      <c r="I281" s="23"/>
      <c r="J281" s="23" t="str">
        <f aca="false">IF(C281="","",IF(OR(C281="Purchase",C281="Fee",C281="Withdrawal"),-(H281+I281),H281-I281))</f>
        <v/>
      </c>
      <c r="K281" s="2"/>
      <c r="L281" s="2"/>
      <c r="M281" s="2"/>
    </row>
    <row r="282" customFormat="false" ht="15" hidden="false" customHeight="false" outlineLevel="0" collapsed="false">
      <c r="A282" s="2"/>
      <c r="B282" s="11"/>
      <c r="C282" s="2"/>
      <c r="D282" s="2"/>
      <c r="E282" s="2"/>
      <c r="F282" s="2"/>
      <c r="G282" s="2"/>
      <c r="H282" s="23"/>
      <c r="I282" s="23"/>
      <c r="J282" s="23" t="str">
        <f aca="false">IF(C282="","",IF(OR(C282="Purchase",C282="Fee",C282="Withdrawal"),-(H282+I282),H282-I282))</f>
        <v/>
      </c>
      <c r="K282" s="2"/>
      <c r="L282" s="2"/>
      <c r="M282" s="2"/>
    </row>
    <row r="283" customFormat="false" ht="15" hidden="false" customHeight="false" outlineLevel="0" collapsed="false">
      <c r="A283" s="2"/>
      <c r="B283" s="11"/>
      <c r="C283" s="2"/>
      <c r="D283" s="2"/>
      <c r="E283" s="2"/>
      <c r="F283" s="2"/>
      <c r="G283" s="2"/>
      <c r="H283" s="23"/>
      <c r="I283" s="23"/>
      <c r="J283" s="23" t="str">
        <f aca="false">IF(C283="","",IF(OR(C283="Purchase",C283="Fee",C283="Withdrawal"),-(H283+I283),H283-I283))</f>
        <v/>
      </c>
      <c r="K283" s="2"/>
      <c r="L283" s="2"/>
      <c r="M283" s="2"/>
    </row>
    <row r="284" customFormat="false" ht="15" hidden="false" customHeight="false" outlineLevel="0" collapsed="false">
      <c r="A284" s="2"/>
      <c r="B284" s="11"/>
      <c r="C284" s="2"/>
      <c r="D284" s="2"/>
      <c r="E284" s="2"/>
      <c r="F284" s="2"/>
      <c r="G284" s="2"/>
      <c r="H284" s="23"/>
      <c r="I284" s="23"/>
      <c r="J284" s="23" t="str">
        <f aca="false">IF(C284="","",IF(OR(C284="Purchase",C284="Fee",C284="Withdrawal"),-(H284+I284),H284-I284))</f>
        <v/>
      </c>
      <c r="K284" s="2"/>
      <c r="L284" s="2"/>
      <c r="M284" s="2"/>
    </row>
    <row r="285" customFormat="false" ht="15" hidden="false" customHeight="false" outlineLevel="0" collapsed="false">
      <c r="A285" s="2"/>
      <c r="B285" s="11"/>
      <c r="C285" s="2"/>
      <c r="D285" s="2"/>
      <c r="E285" s="2"/>
      <c r="F285" s="2"/>
      <c r="G285" s="2"/>
      <c r="H285" s="23"/>
      <c r="I285" s="23"/>
      <c r="J285" s="23" t="str">
        <f aca="false">IF(C285="","",IF(OR(C285="Purchase",C285="Fee",C285="Withdrawal"),-(H285+I285),H285-I285))</f>
        <v/>
      </c>
      <c r="K285" s="2"/>
      <c r="L285" s="2"/>
      <c r="M285" s="2"/>
    </row>
    <row r="286" customFormat="false" ht="15" hidden="false" customHeight="false" outlineLevel="0" collapsed="false">
      <c r="A286" s="2"/>
      <c r="B286" s="11"/>
      <c r="C286" s="2"/>
      <c r="D286" s="2"/>
      <c r="E286" s="2"/>
      <c r="F286" s="2"/>
      <c r="G286" s="2"/>
      <c r="H286" s="23"/>
      <c r="I286" s="23"/>
      <c r="J286" s="23" t="str">
        <f aca="false">IF(C286="","",IF(OR(C286="Purchase",C286="Fee",C286="Withdrawal"),-(H286+I286),H286-I286))</f>
        <v/>
      </c>
      <c r="K286" s="2"/>
      <c r="L286" s="2"/>
      <c r="M286" s="2"/>
    </row>
    <row r="287" customFormat="false" ht="15" hidden="false" customHeight="false" outlineLevel="0" collapsed="false">
      <c r="A287" s="2"/>
      <c r="B287" s="11"/>
      <c r="C287" s="2"/>
      <c r="D287" s="2"/>
      <c r="E287" s="2"/>
      <c r="F287" s="2"/>
      <c r="G287" s="2"/>
      <c r="H287" s="23"/>
      <c r="I287" s="23"/>
      <c r="J287" s="23" t="str">
        <f aca="false">IF(C287="","",IF(OR(C287="Purchase",C287="Fee",C287="Withdrawal"),-(H287+I287),H287-I287))</f>
        <v/>
      </c>
      <c r="K287" s="2"/>
      <c r="L287" s="2"/>
      <c r="M287" s="2"/>
    </row>
    <row r="288" customFormat="false" ht="15" hidden="false" customHeight="false" outlineLevel="0" collapsed="false">
      <c r="A288" s="2"/>
      <c r="B288" s="11"/>
      <c r="C288" s="2"/>
      <c r="D288" s="2"/>
      <c r="E288" s="2"/>
      <c r="F288" s="2"/>
      <c r="G288" s="2"/>
      <c r="H288" s="23"/>
      <c r="I288" s="23"/>
      <c r="J288" s="23" t="str">
        <f aca="false">IF(C288="","",IF(OR(C288="Purchase",C288="Fee",C288="Withdrawal"),-(H288+I288),H288-I288))</f>
        <v/>
      </c>
      <c r="K288" s="2"/>
      <c r="L288" s="2"/>
      <c r="M288" s="2"/>
    </row>
    <row r="289" customFormat="false" ht="15" hidden="false" customHeight="false" outlineLevel="0" collapsed="false">
      <c r="A289" s="2"/>
      <c r="B289" s="11"/>
      <c r="C289" s="2"/>
      <c r="D289" s="2"/>
      <c r="E289" s="2"/>
      <c r="F289" s="2"/>
      <c r="G289" s="2"/>
      <c r="H289" s="23"/>
      <c r="I289" s="23"/>
      <c r="J289" s="23" t="str">
        <f aca="false">IF(C289="","",IF(OR(C289="Purchase",C289="Fee",C289="Withdrawal"),-(H289+I289),H289-I289))</f>
        <v/>
      </c>
      <c r="K289" s="2"/>
      <c r="L289" s="2"/>
      <c r="M289" s="2"/>
    </row>
    <row r="290" customFormat="false" ht="15" hidden="false" customHeight="false" outlineLevel="0" collapsed="false">
      <c r="A290" s="2"/>
      <c r="B290" s="11"/>
      <c r="C290" s="2"/>
      <c r="D290" s="2"/>
      <c r="E290" s="2"/>
      <c r="F290" s="2"/>
      <c r="G290" s="2"/>
      <c r="H290" s="23"/>
      <c r="I290" s="23"/>
      <c r="J290" s="23" t="str">
        <f aca="false">IF(C290="","",IF(OR(C290="Purchase",C290="Fee",C290="Withdrawal"),-(H290+I290),H290-I290))</f>
        <v/>
      </c>
      <c r="K290" s="2"/>
      <c r="L290" s="2"/>
      <c r="M290" s="2"/>
    </row>
    <row r="291" customFormat="false" ht="15" hidden="false" customHeight="false" outlineLevel="0" collapsed="false">
      <c r="A291" s="2"/>
      <c r="B291" s="11"/>
      <c r="C291" s="2"/>
      <c r="D291" s="2"/>
      <c r="E291" s="2"/>
      <c r="F291" s="2"/>
      <c r="G291" s="2"/>
      <c r="H291" s="23"/>
      <c r="I291" s="23"/>
      <c r="J291" s="23" t="str">
        <f aca="false">IF(C291="","",IF(OR(C291="Purchase",C291="Fee",C291="Withdrawal"),-(H291+I291),H291-I291))</f>
        <v/>
      </c>
      <c r="K291" s="2"/>
      <c r="L291" s="2"/>
      <c r="M291" s="2"/>
    </row>
    <row r="292" customFormat="false" ht="15" hidden="false" customHeight="false" outlineLevel="0" collapsed="false">
      <c r="A292" s="2"/>
      <c r="B292" s="11"/>
      <c r="C292" s="2"/>
      <c r="D292" s="2"/>
      <c r="E292" s="2"/>
      <c r="F292" s="2"/>
      <c r="G292" s="2"/>
      <c r="H292" s="23"/>
      <c r="I292" s="23"/>
      <c r="J292" s="23" t="str">
        <f aca="false">IF(C292="","",IF(OR(C292="Purchase",C292="Fee",C292="Withdrawal"),-(H292+I292),H292-I292))</f>
        <v/>
      </c>
      <c r="K292" s="2"/>
      <c r="L292" s="2"/>
      <c r="M292" s="2"/>
    </row>
    <row r="293" customFormat="false" ht="15" hidden="false" customHeight="false" outlineLevel="0" collapsed="false">
      <c r="A293" s="2"/>
      <c r="B293" s="11"/>
      <c r="C293" s="2"/>
      <c r="D293" s="2"/>
      <c r="E293" s="2"/>
      <c r="F293" s="2"/>
      <c r="G293" s="2"/>
      <c r="H293" s="23"/>
      <c r="I293" s="23"/>
      <c r="J293" s="23" t="str">
        <f aca="false">IF(C293="","",IF(OR(C293="Purchase",C293="Fee",C293="Withdrawal"),-(H293+I293),H293-I293))</f>
        <v/>
      </c>
      <c r="K293" s="2"/>
      <c r="L293" s="2"/>
      <c r="M293" s="2"/>
    </row>
    <row r="294" customFormat="false" ht="15" hidden="false" customHeight="false" outlineLevel="0" collapsed="false">
      <c r="A294" s="2"/>
      <c r="B294" s="11"/>
      <c r="C294" s="2"/>
      <c r="D294" s="2"/>
      <c r="E294" s="2"/>
      <c r="F294" s="2"/>
      <c r="G294" s="2"/>
      <c r="H294" s="23"/>
      <c r="I294" s="23"/>
      <c r="J294" s="23" t="str">
        <f aca="false">IF(C294="","",IF(OR(C294="Purchase",C294="Fee",C294="Withdrawal"),-(H294+I294),H294-I294))</f>
        <v/>
      </c>
      <c r="K294" s="2"/>
      <c r="L294" s="2"/>
      <c r="M294" s="2"/>
    </row>
    <row r="295" customFormat="false" ht="15" hidden="false" customHeight="false" outlineLevel="0" collapsed="false">
      <c r="A295" s="2"/>
      <c r="B295" s="11"/>
      <c r="C295" s="2"/>
      <c r="D295" s="2"/>
      <c r="E295" s="2"/>
      <c r="F295" s="2"/>
      <c r="G295" s="2"/>
      <c r="H295" s="23"/>
      <c r="I295" s="23"/>
      <c r="J295" s="23" t="str">
        <f aca="false">IF(C295="","",IF(OR(C295="Purchase",C295="Fee",C295="Withdrawal"),-(H295+I295),H295-I295))</f>
        <v/>
      </c>
      <c r="K295" s="2"/>
      <c r="L295" s="2"/>
      <c r="M295" s="2"/>
    </row>
    <row r="296" customFormat="false" ht="15" hidden="false" customHeight="false" outlineLevel="0" collapsed="false">
      <c r="A296" s="2"/>
      <c r="B296" s="11"/>
      <c r="C296" s="2"/>
      <c r="D296" s="2"/>
      <c r="E296" s="2"/>
      <c r="F296" s="2"/>
      <c r="G296" s="2"/>
      <c r="H296" s="23"/>
      <c r="I296" s="23"/>
      <c r="J296" s="23" t="str">
        <f aca="false">IF(C296="","",IF(OR(C296="Purchase",C296="Fee",C296="Withdrawal"),-(H296+I296),H296-I296))</f>
        <v/>
      </c>
      <c r="K296" s="2"/>
      <c r="L296" s="2"/>
      <c r="M296" s="2"/>
    </row>
    <row r="297" customFormat="false" ht="15" hidden="false" customHeight="false" outlineLevel="0" collapsed="false">
      <c r="A297" s="2"/>
      <c r="B297" s="11"/>
      <c r="C297" s="2"/>
      <c r="D297" s="2"/>
      <c r="E297" s="2"/>
      <c r="F297" s="2"/>
      <c r="G297" s="2"/>
      <c r="H297" s="23"/>
      <c r="I297" s="23"/>
      <c r="J297" s="23" t="str">
        <f aca="false">IF(C297="","",IF(OR(C297="Purchase",C297="Fee",C297="Withdrawal"),-(H297+I297),H297-I297))</f>
        <v/>
      </c>
      <c r="K297" s="2"/>
      <c r="L297" s="2"/>
      <c r="M297" s="2"/>
    </row>
    <row r="298" customFormat="false" ht="15" hidden="false" customHeight="false" outlineLevel="0" collapsed="false">
      <c r="A298" s="2"/>
      <c r="B298" s="11"/>
      <c r="C298" s="2"/>
      <c r="D298" s="2"/>
      <c r="E298" s="2"/>
      <c r="F298" s="2"/>
      <c r="G298" s="2"/>
      <c r="H298" s="23"/>
      <c r="I298" s="23"/>
      <c r="J298" s="23" t="str">
        <f aca="false">IF(C298="","",IF(OR(C298="Purchase",C298="Fee",C298="Withdrawal"),-(H298+I298),H298-I298))</f>
        <v/>
      </c>
      <c r="K298" s="2"/>
      <c r="L298" s="2"/>
      <c r="M298" s="2"/>
    </row>
    <row r="299" customFormat="false" ht="15" hidden="false" customHeight="false" outlineLevel="0" collapsed="false">
      <c r="A299" s="2"/>
      <c r="B299" s="11"/>
      <c r="C299" s="2"/>
      <c r="D299" s="2"/>
      <c r="E299" s="2"/>
      <c r="F299" s="2"/>
      <c r="G299" s="2"/>
      <c r="H299" s="23"/>
      <c r="I299" s="23"/>
      <c r="J299" s="23" t="str">
        <f aca="false">IF(C299="","",IF(OR(C299="Purchase",C299="Fee",C299="Withdrawal"),-(H299+I299),H299-I299))</f>
        <v/>
      </c>
      <c r="K299" s="2"/>
      <c r="L299" s="2"/>
      <c r="M299" s="2"/>
    </row>
    <row r="300" customFormat="false" ht="15" hidden="false" customHeight="false" outlineLevel="0" collapsed="false">
      <c r="A300" s="2"/>
      <c r="B300" s="11"/>
      <c r="C300" s="2"/>
      <c r="D300" s="2"/>
      <c r="E300" s="2"/>
      <c r="F300" s="2"/>
      <c r="G300" s="2"/>
      <c r="H300" s="23"/>
      <c r="I300" s="23"/>
      <c r="J300" s="23" t="str">
        <f aca="false">IF(C300="","",IF(OR(C300="Purchase",C300="Fee",C300="Withdrawal"),-(H300+I300),H300-I300))</f>
        <v/>
      </c>
      <c r="K300" s="2"/>
      <c r="L300" s="2"/>
      <c r="M300" s="2"/>
    </row>
    <row r="301" customFormat="false" ht="15" hidden="false" customHeight="false" outlineLevel="0" collapsed="false">
      <c r="A301" s="2"/>
      <c r="B301" s="11"/>
      <c r="C301" s="2"/>
      <c r="D301" s="2"/>
      <c r="E301" s="2"/>
      <c r="F301" s="2"/>
      <c r="G301" s="2"/>
      <c r="H301" s="23"/>
      <c r="I301" s="23"/>
      <c r="J301" s="23" t="str">
        <f aca="false">IF(C301="","",IF(OR(C301="Purchase",C301="Fee",C301="Withdrawal"),-(H301+I301),H301-I301))</f>
        <v/>
      </c>
      <c r="K301" s="2"/>
      <c r="L301" s="2"/>
      <c r="M301" s="2"/>
    </row>
    <row r="302" customFormat="false" ht="15" hidden="false" customHeight="false" outlineLevel="0" collapsed="false">
      <c r="A302" s="2"/>
      <c r="B302" s="11"/>
      <c r="C302" s="2"/>
      <c r="D302" s="2"/>
      <c r="E302" s="2"/>
      <c r="F302" s="2"/>
      <c r="G302" s="2"/>
      <c r="H302" s="23"/>
      <c r="I302" s="23"/>
      <c r="J302" s="23" t="str">
        <f aca="false">IF(C302="","",IF(OR(C302="Purchase",C302="Fee",C302="Withdrawal"),-(H302+I302),H302-I302))</f>
        <v/>
      </c>
      <c r="K302" s="2"/>
      <c r="L302" s="2"/>
      <c r="M302" s="2"/>
    </row>
    <row r="303" customFormat="false" ht="15" hidden="false" customHeight="false" outlineLevel="0" collapsed="false">
      <c r="A303" s="2"/>
      <c r="B303" s="11"/>
      <c r="C303" s="2"/>
      <c r="D303" s="2"/>
      <c r="E303" s="2"/>
      <c r="F303" s="2"/>
      <c r="G303" s="2"/>
      <c r="H303" s="23"/>
      <c r="I303" s="23"/>
      <c r="J303" s="23" t="str">
        <f aca="false">IF(C303="","",IF(OR(C303="Purchase",C303="Fee",C303="Withdrawal"),-(H303+I303),H303-I303))</f>
        <v/>
      </c>
      <c r="K303" s="2"/>
      <c r="L303" s="2"/>
      <c r="M303" s="2"/>
    </row>
    <row r="304" customFormat="false" ht="15" hidden="false" customHeight="false" outlineLevel="0" collapsed="false">
      <c r="A304" s="2"/>
      <c r="B304" s="11"/>
      <c r="C304" s="2"/>
      <c r="D304" s="2"/>
      <c r="E304" s="2"/>
      <c r="F304" s="2"/>
      <c r="G304" s="2"/>
      <c r="H304" s="23"/>
      <c r="I304" s="23"/>
      <c r="J304" s="23" t="str">
        <f aca="false">IF(C304="","",IF(OR(C304="Purchase",C304="Fee",C304="Withdrawal"),-(H304+I304),H304-I304))</f>
        <v/>
      </c>
      <c r="K304" s="2"/>
      <c r="L304" s="2"/>
      <c r="M304" s="2"/>
    </row>
    <row r="305" customFormat="false" ht="15" hidden="false" customHeight="false" outlineLevel="0" collapsed="false">
      <c r="A305" s="2"/>
      <c r="B305" s="11"/>
      <c r="C305" s="2"/>
      <c r="D305" s="2"/>
      <c r="E305" s="2"/>
      <c r="F305" s="2"/>
      <c r="G305" s="2"/>
      <c r="H305" s="23"/>
      <c r="I305" s="23"/>
      <c r="J305" s="23" t="str">
        <f aca="false">IF(C305="","",IF(OR(C305="Purchase",C305="Fee",C305="Withdrawal"),-(H305+I305),H305-I305))</f>
        <v/>
      </c>
      <c r="K305" s="2"/>
      <c r="L305" s="2"/>
      <c r="M305" s="2"/>
    </row>
    <row r="306" customFormat="false" ht="15" hidden="false" customHeight="false" outlineLevel="0" collapsed="false">
      <c r="A306" s="2"/>
      <c r="B306" s="11"/>
      <c r="C306" s="2"/>
      <c r="D306" s="2"/>
      <c r="E306" s="2"/>
      <c r="F306" s="2"/>
      <c r="G306" s="2"/>
      <c r="H306" s="23"/>
      <c r="I306" s="23"/>
      <c r="J306" s="23" t="str">
        <f aca="false">IF(C306="","",IF(OR(C306="Purchase",C306="Fee",C306="Withdrawal"),-(H306+I306),H306-I306))</f>
        <v/>
      </c>
      <c r="K306" s="2"/>
      <c r="L306" s="2"/>
      <c r="M306" s="2"/>
    </row>
    <row r="307" customFormat="false" ht="15" hidden="false" customHeight="false" outlineLevel="0" collapsed="false">
      <c r="A307" s="2"/>
      <c r="B307" s="11"/>
      <c r="C307" s="2"/>
      <c r="D307" s="2"/>
      <c r="E307" s="2"/>
      <c r="F307" s="2"/>
      <c r="G307" s="2"/>
      <c r="H307" s="23"/>
      <c r="I307" s="23"/>
      <c r="J307" s="23" t="str">
        <f aca="false">IF(C307="","",IF(OR(C307="Purchase",C307="Fee",C307="Withdrawal"),-(H307+I307),H307-I307))</f>
        <v/>
      </c>
      <c r="K307" s="2"/>
      <c r="L307" s="2"/>
      <c r="M307" s="2"/>
    </row>
    <row r="308" customFormat="false" ht="15" hidden="false" customHeight="false" outlineLevel="0" collapsed="false">
      <c r="A308" s="2"/>
      <c r="B308" s="11"/>
      <c r="C308" s="2"/>
      <c r="D308" s="2"/>
      <c r="E308" s="2"/>
      <c r="F308" s="2"/>
      <c r="G308" s="2"/>
      <c r="H308" s="23"/>
      <c r="I308" s="23"/>
      <c r="J308" s="23" t="str">
        <f aca="false">IF(C308="","",IF(OR(C308="Purchase",C308="Fee",C308="Withdrawal"),-(H308+I308),H308-I308))</f>
        <v/>
      </c>
      <c r="K308" s="2"/>
      <c r="L308" s="2"/>
      <c r="M308" s="2"/>
    </row>
    <row r="309" customFormat="false" ht="15" hidden="false" customHeight="false" outlineLevel="0" collapsed="false">
      <c r="A309" s="2"/>
      <c r="B309" s="11"/>
      <c r="C309" s="2"/>
      <c r="D309" s="2"/>
      <c r="E309" s="2"/>
      <c r="F309" s="2"/>
      <c r="G309" s="2"/>
      <c r="H309" s="23"/>
      <c r="I309" s="23"/>
      <c r="J309" s="23" t="str">
        <f aca="false">IF(C309="","",IF(OR(C309="Purchase",C309="Fee",C309="Withdrawal"),-(H309+I309),H309-I309))</f>
        <v/>
      </c>
      <c r="K309" s="2"/>
      <c r="L309" s="2"/>
      <c r="M309" s="2"/>
    </row>
    <row r="310" customFormat="false" ht="15" hidden="false" customHeight="false" outlineLevel="0" collapsed="false">
      <c r="A310" s="2"/>
      <c r="B310" s="11"/>
      <c r="C310" s="2"/>
      <c r="D310" s="2"/>
      <c r="E310" s="2"/>
      <c r="F310" s="2"/>
      <c r="G310" s="2"/>
      <c r="H310" s="23"/>
      <c r="I310" s="23"/>
      <c r="J310" s="23" t="str">
        <f aca="false">IF(C310="","",IF(OR(C310="Purchase",C310="Fee",C310="Withdrawal"),-(H310+I310),H310-I310))</f>
        <v/>
      </c>
      <c r="K310" s="2"/>
      <c r="L310" s="2"/>
      <c r="M310" s="2"/>
    </row>
    <row r="311" customFormat="false" ht="15" hidden="false" customHeight="false" outlineLevel="0" collapsed="false">
      <c r="A311" s="2"/>
      <c r="B311" s="11"/>
      <c r="C311" s="2"/>
      <c r="D311" s="2"/>
      <c r="E311" s="2"/>
      <c r="F311" s="2"/>
      <c r="G311" s="2"/>
      <c r="H311" s="23"/>
      <c r="I311" s="23"/>
      <c r="J311" s="23" t="str">
        <f aca="false">IF(C311="","",IF(OR(C311="Purchase",C311="Fee",C311="Withdrawal"),-(H311+I311),H311-I311))</f>
        <v/>
      </c>
      <c r="K311" s="2"/>
      <c r="L311" s="2"/>
      <c r="M311" s="2"/>
    </row>
    <row r="312" customFormat="false" ht="15" hidden="false" customHeight="false" outlineLevel="0" collapsed="false">
      <c r="A312" s="2"/>
      <c r="B312" s="11"/>
      <c r="C312" s="2"/>
      <c r="D312" s="2"/>
      <c r="E312" s="2"/>
      <c r="F312" s="2"/>
      <c r="G312" s="2"/>
      <c r="H312" s="23"/>
      <c r="I312" s="23"/>
      <c r="J312" s="23" t="str">
        <f aca="false">IF(C312="","",IF(OR(C312="Purchase",C312="Fee",C312="Withdrawal"),-(H312+I312),H312-I312))</f>
        <v/>
      </c>
      <c r="K312" s="2"/>
      <c r="L312" s="2"/>
      <c r="M312" s="2"/>
    </row>
    <row r="313" customFormat="false" ht="15" hidden="false" customHeight="false" outlineLevel="0" collapsed="false">
      <c r="A313" s="2"/>
      <c r="B313" s="11"/>
      <c r="C313" s="2"/>
      <c r="D313" s="2"/>
      <c r="E313" s="2"/>
      <c r="F313" s="2"/>
      <c r="G313" s="2"/>
      <c r="H313" s="23"/>
      <c r="I313" s="23"/>
      <c r="J313" s="23" t="str">
        <f aca="false">IF(C313="","",IF(OR(C313="Purchase",C313="Fee",C313="Withdrawal"),-(H313+I313),H313-I313))</f>
        <v/>
      </c>
      <c r="K313" s="2"/>
      <c r="L313" s="2"/>
      <c r="M313" s="2"/>
    </row>
    <row r="314" customFormat="false" ht="15" hidden="false" customHeight="false" outlineLevel="0" collapsed="false">
      <c r="A314" s="2"/>
      <c r="B314" s="11"/>
      <c r="C314" s="2"/>
      <c r="D314" s="2"/>
      <c r="E314" s="2"/>
      <c r="F314" s="2"/>
      <c r="G314" s="2"/>
      <c r="H314" s="23"/>
      <c r="I314" s="23"/>
      <c r="J314" s="23" t="str">
        <f aca="false">IF(C314="","",IF(OR(C314="Purchase",C314="Fee",C314="Withdrawal"),-(H314+I314),H314-I314))</f>
        <v/>
      </c>
      <c r="K314" s="2"/>
      <c r="L314" s="2"/>
      <c r="M314" s="2"/>
    </row>
    <row r="315" customFormat="false" ht="15" hidden="false" customHeight="false" outlineLevel="0" collapsed="false">
      <c r="A315" s="2"/>
      <c r="B315" s="11"/>
      <c r="C315" s="2"/>
      <c r="D315" s="2"/>
      <c r="E315" s="2"/>
      <c r="F315" s="2"/>
      <c r="G315" s="2"/>
      <c r="H315" s="23"/>
      <c r="I315" s="23"/>
      <c r="J315" s="23" t="str">
        <f aca="false">IF(C315="","",IF(OR(C315="Purchase",C315="Fee",C315="Withdrawal"),-(H315+I315),H315-I315))</f>
        <v/>
      </c>
      <c r="K315" s="2"/>
      <c r="L315" s="2"/>
      <c r="M315" s="2"/>
    </row>
    <row r="316" customFormat="false" ht="15" hidden="false" customHeight="false" outlineLevel="0" collapsed="false">
      <c r="A316" s="2"/>
      <c r="B316" s="11"/>
      <c r="C316" s="2"/>
      <c r="D316" s="2"/>
      <c r="E316" s="2"/>
      <c r="F316" s="2"/>
      <c r="G316" s="2"/>
      <c r="H316" s="23"/>
      <c r="I316" s="23"/>
      <c r="J316" s="23" t="str">
        <f aca="false">IF(C316="","",IF(OR(C316="Purchase",C316="Fee",C316="Withdrawal"),-(H316+I316),H316-I316))</f>
        <v/>
      </c>
      <c r="K316" s="2"/>
      <c r="L316" s="2"/>
      <c r="M316" s="2"/>
    </row>
    <row r="317" customFormat="false" ht="15" hidden="false" customHeight="false" outlineLevel="0" collapsed="false">
      <c r="A317" s="2"/>
      <c r="B317" s="11"/>
      <c r="C317" s="2"/>
      <c r="D317" s="2"/>
      <c r="E317" s="2"/>
      <c r="F317" s="2"/>
      <c r="G317" s="2"/>
      <c r="H317" s="23"/>
      <c r="I317" s="23"/>
      <c r="J317" s="23" t="str">
        <f aca="false">IF(C317="","",IF(OR(C317="Purchase",C317="Fee",C317="Withdrawal"),-(H317+I317),H317-I317))</f>
        <v/>
      </c>
      <c r="K317" s="2"/>
      <c r="L317" s="2"/>
      <c r="M317" s="2"/>
    </row>
    <row r="318" customFormat="false" ht="15" hidden="false" customHeight="false" outlineLevel="0" collapsed="false">
      <c r="A318" s="2"/>
      <c r="B318" s="11"/>
      <c r="C318" s="2"/>
      <c r="D318" s="2"/>
      <c r="E318" s="2"/>
      <c r="F318" s="2"/>
      <c r="G318" s="2"/>
      <c r="H318" s="23"/>
      <c r="I318" s="23"/>
      <c r="J318" s="23" t="str">
        <f aca="false">IF(C318="","",IF(OR(C318="Purchase",C318="Fee",C318="Withdrawal"),-(H318+I318),H318-I318))</f>
        <v/>
      </c>
      <c r="K318" s="2"/>
      <c r="L318" s="2"/>
      <c r="M318" s="2"/>
    </row>
    <row r="319" customFormat="false" ht="15" hidden="false" customHeight="false" outlineLevel="0" collapsed="false">
      <c r="A319" s="2"/>
      <c r="B319" s="11"/>
      <c r="C319" s="2"/>
      <c r="D319" s="2"/>
      <c r="E319" s="2"/>
      <c r="F319" s="2"/>
      <c r="G319" s="2"/>
      <c r="H319" s="23"/>
      <c r="I319" s="23"/>
      <c r="J319" s="23" t="str">
        <f aca="false">IF(C319="","",IF(OR(C319="Purchase",C319="Fee",C319="Withdrawal"),-(H319+I319),H319-I319))</f>
        <v/>
      </c>
      <c r="K319" s="2"/>
      <c r="L319" s="2"/>
      <c r="M319" s="2"/>
    </row>
    <row r="320" customFormat="false" ht="15" hidden="false" customHeight="false" outlineLevel="0" collapsed="false">
      <c r="A320" s="2"/>
      <c r="B320" s="11"/>
      <c r="C320" s="2"/>
      <c r="D320" s="2"/>
      <c r="E320" s="2"/>
      <c r="F320" s="2"/>
      <c r="G320" s="2"/>
      <c r="H320" s="23"/>
      <c r="I320" s="23"/>
      <c r="J320" s="23" t="str">
        <f aca="false">IF(C320="","",IF(OR(C320="Purchase",C320="Fee",C320="Withdrawal"),-(H320+I320),H320-I320))</f>
        <v/>
      </c>
      <c r="K320" s="2"/>
      <c r="L320" s="2"/>
      <c r="M320" s="2"/>
    </row>
    <row r="321" customFormat="false" ht="15" hidden="false" customHeight="false" outlineLevel="0" collapsed="false">
      <c r="A321" s="2"/>
      <c r="B321" s="11"/>
      <c r="C321" s="2"/>
      <c r="D321" s="2"/>
      <c r="E321" s="2"/>
      <c r="F321" s="2"/>
      <c r="G321" s="2"/>
      <c r="H321" s="23"/>
      <c r="I321" s="23"/>
      <c r="J321" s="23" t="str">
        <f aca="false">IF(C321="","",IF(OR(C321="Purchase",C321="Fee",C321="Withdrawal"),-(H321+I321),H321-I321))</f>
        <v/>
      </c>
      <c r="K321" s="2"/>
      <c r="L321" s="2"/>
      <c r="M321" s="2"/>
    </row>
    <row r="322" customFormat="false" ht="15" hidden="false" customHeight="false" outlineLevel="0" collapsed="false">
      <c r="A322" s="2"/>
      <c r="B322" s="11"/>
      <c r="C322" s="2"/>
      <c r="D322" s="2"/>
      <c r="E322" s="2"/>
      <c r="F322" s="2"/>
      <c r="G322" s="2"/>
      <c r="H322" s="23"/>
      <c r="I322" s="23"/>
      <c r="J322" s="23" t="str">
        <f aca="false">IF(C322="","",IF(OR(C322="Purchase",C322="Fee",C322="Withdrawal"),-(H322+I322),H322-I322))</f>
        <v/>
      </c>
      <c r="K322" s="2"/>
      <c r="L322" s="2"/>
      <c r="M322" s="2"/>
    </row>
    <row r="323" customFormat="false" ht="15" hidden="false" customHeight="false" outlineLevel="0" collapsed="false">
      <c r="A323" s="2"/>
      <c r="B323" s="11"/>
      <c r="C323" s="2"/>
      <c r="D323" s="2"/>
      <c r="E323" s="2"/>
      <c r="F323" s="2"/>
      <c r="G323" s="2"/>
      <c r="H323" s="23"/>
      <c r="I323" s="23"/>
      <c r="J323" s="23" t="str">
        <f aca="false">IF(C323="","",IF(OR(C323="Purchase",C323="Fee",C323="Withdrawal"),-(H323+I323),H323-I323))</f>
        <v/>
      </c>
      <c r="K323" s="2"/>
      <c r="L323" s="2"/>
      <c r="M323" s="2"/>
    </row>
    <row r="324" customFormat="false" ht="15" hidden="false" customHeight="false" outlineLevel="0" collapsed="false">
      <c r="A324" s="2"/>
      <c r="B324" s="11"/>
      <c r="C324" s="2"/>
      <c r="D324" s="2"/>
      <c r="E324" s="2"/>
      <c r="F324" s="2"/>
      <c r="G324" s="2"/>
      <c r="H324" s="23"/>
      <c r="I324" s="23"/>
      <c r="J324" s="23" t="str">
        <f aca="false">IF(C324="","",IF(OR(C324="Purchase",C324="Fee",C324="Withdrawal"),-(H324+I324),H324-I324))</f>
        <v/>
      </c>
      <c r="K324" s="2"/>
      <c r="L324" s="2"/>
      <c r="M324" s="2"/>
    </row>
    <row r="325" customFormat="false" ht="15" hidden="false" customHeight="false" outlineLevel="0" collapsed="false">
      <c r="A325" s="2"/>
      <c r="B325" s="11"/>
      <c r="C325" s="2"/>
      <c r="D325" s="2"/>
      <c r="E325" s="2"/>
      <c r="F325" s="2"/>
      <c r="G325" s="2"/>
      <c r="H325" s="23"/>
      <c r="I325" s="23"/>
      <c r="J325" s="23" t="str">
        <f aca="false">IF(C325="","",IF(OR(C325="Purchase",C325="Fee",C325="Withdrawal"),-(H325+I325),H325-I325))</f>
        <v/>
      </c>
      <c r="K325" s="2"/>
      <c r="L325" s="2"/>
      <c r="M325" s="2"/>
    </row>
    <row r="326" customFormat="false" ht="15" hidden="false" customHeight="false" outlineLevel="0" collapsed="false">
      <c r="A326" s="2"/>
      <c r="B326" s="11"/>
      <c r="C326" s="2"/>
      <c r="D326" s="2"/>
      <c r="E326" s="2"/>
      <c r="F326" s="2"/>
      <c r="G326" s="2"/>
      <c r="H326" s="23"/>
      <c r="I326" s="23"/>
      <c r="J326" s="23" t="str">
        <f aca="false">IF(C326="","",IF(OR(C326="Purchase",C326="Fee",C326="Withdrawal"),-(H326+I326),H326-I326))</f>
        <v/>
      </c>
      <c r="K326" s="2"/>
      <c r="L326" s="2"/>
      <c r="M326" s="2"/>
    </row>
    <row r="327" customFormat="false" ht="15" hidden="false" customHeight="false" outlineLevel="0" collapsed="false">
      <c r="A327" s="2"/>
      <c r="B327" s="11"/>
      <c r="C327" s="2"/>
      <c r="D327" s="2"/>
      <c r="E327" s="2"/>
      <c r="F327" s="2"/>
      <c r="G327" s="2"/>
      <c r="H327" s="23"/>
      <c r="I327" s="23"/>
      <c r="J327" s="23" t="str">
        <f aca="false">IF(C327="","",IF(OR(C327="Purchase",C327="Fee",C327="Withdrawal"),-(H327+I327),H327-I327))</f>
        <v/>
      </c>
      <c r="K327" s="2"/>
      <c r="L327" s="2"/>
      <c r="M327" s="2"/>
    </row>
    <row r="328" customFormat="false" ht="15" hidden="false" customHeight="false" outlineLevel="0" collapsed="false">
      <c r="A328" s="2"/>
      <c r="B328" s="11"/>
      <c r="C328" s="2"/>
      <c r="D328" s="2"/>
      <c r="E328" s="2"/>
      <c r="F328" s="2"/>
      <c r="G328" s="2"/>
      <c r="H328" s="23"/>
      <c r="I328" s="23"/>
      <c r="J328" s="23" t="str">
        <f aca="false">IF(C328="","",IF(OR(C328="Purchase",C328="Fee",C328="Withdrawal"),-(H328+I328),H328-I328))</f>
        <v/>
      </c>
      <c r="K328" s="2"/>
      <c r="L328" s="2"/>
      <c r="M328" s="2"/>
    </row>
    <row r="329" customFormat="false" ht="15" hidden="false" customHeight="false" outlineLevel="0" collapsed="false">
      <c r="A329" s="2"/>
      <c r="B329" s="11"/>
      <c r="C329" s="2"/>
      <c r="D329" s="2"/>
      <c r="E329" s="2"/>
      <c r="F329" s="2"/>
      <c r="G329" s="2"/>
      <c r="H329" s="23"/>
      <c r="I329" s="23"/>
      <c r="J329" s="23" t="str">
        <f aca="false">IF(C329="","",IF(OR(C329="Purchase",C329="Fee",C329="Withdrawal"),-(H329+I329),H329-I329))</f>
        <v/>
      </c>
      <c r="K329" s="2"/>
      <c r="L329" s="2"/>
      <c r="M329" s="2"/>
    </row>
    <row r="330" customFormat="false" ht="15" hidden="false" customHeight="false" outlineLevel="0" collapsed="false">
      <c r="A330" s="2"/>
      <c r="B330" s="11"/>
      <c r="C330" s="2"/>
      <c r="D330" s="2"/>
      <c r="E330" s="2"/>
      <c r="F330" s="2"/>
      <c r="G330" s="2"/>
      <c r="H330" s="23"/>
      <c r="I330" s="23"/>
      <c r="J330" s="23" t="str">
        <f aca="false">IF(C330="","",IF(OR(C330="Purchase",C330="Fee",C330="Withdrawal"),-(H330+I330),H330-I330))</f>
        <v/>
      </c>
      <c r="K330" s="2"/>
      <c r="L330" s="2"/>
      <c r="M330" s="2"/>
    </row>
    <row r="331" customFormat="false" ht="15" hidden="false" customHeight="false" outlineLevel="0" collapsed="false">
      <c r="A331" s="2"/>
      <c r="B331" s="11"/>
      <c r="C331" s="2"/>
      <c r="D331" s="2"/>
      <c r="E331" s="2"/>
      <c r="F331" s="2"/>
      <c r="G331" s="2"/>
      <c r="H331" s="23"/>
      <c r="I331" s="23"/>
      <c r="J331" s="23" t="str">
        <f aca="false">IF(C331="","",IF(OR(C331="Purchase",C331="Fee",C331="Withdrawal"),-(H331+I331),H331-I331))</f>
        <v/>
      </c>
      <c r="K331" s="2"/>
      <c r="L331" s="2"/>
      <c r="M331" s="2"/>
    </row>
    <row r="332" customFormat="false" ht="15" hidden="false" customHeight="false" outlineLevel="0" collapsed="false">
      <c r="A332" s="2"/>
      <c r="B332" s="11"/>
      <c r="C332" s="2"/>
      <c r="D332" s="2"/>
      <c r="E332" s="2"/>
      <c r="F332" s="2"/>
      <c r="G332" s="2"/>
      <c r="H332" s="23"/>
      <c r="I332" s="23"/>
      <c r="J332" s="23" t="str">
        <f aca="false">IF(C332="","",IF(OR(C332="Purchase",C332="Fee",C332="Withdrawal"),-(H332+I332),H332-I332))</f>
        <v/>
      </c>
      <c r="K332" s="2"/>
      <c r="L332" s="2"/>
      <c r="M332" s="2"/>
    </row>
    <row r="333" customFormat="false" ht="15" hidden="false" customHeight="false" outlineLevel="0" collapsed="false">
      <c r="A333" s="2"/>
      <c r="B333" s="11"/>
      <c r="C333" s="2"/>
      <c r="D333" s="2"/>
      <c r="E333" s="2"/>
      <c r="F333" s="2"/>
      <c r="G333" s="2"/>
      <c r="H333" s="23"/>
      <c r="I333" s="23"/>
      <c r="J333" s="23" t="str">
        <f aca="false">IF(C333="","",IF(OR(C333="Purchase",C333="Fee",C333="Withdrawal"),-(H333+I333),H333-I333))</f>
        <v/>
      </c>
      <c r="K333" s="2"/>
      <c r="L333" s="2"/>
      <c r="M333" s="2"/>
    </row>
    <row r="334" customFormat="false" ht="15" hidden="false" customHeight="false" outlineLevel="0" collapsed="false">
      <c r="A334" s="2"/>
      <c r="B334" s="11"/>
      <c r="C334" s="2"/>
      <c r="D334" s="2"/>
      <c r="E334" s="2"/>
      <c r="F334" s="2"/>
      <c r="G334" s="2"/>
      <c r="H334" s="23"/>
      <c r="I334" s="23"/>
      <c r="J334" s="23" t="str">
        <f aca="false">IF(C334="","",IF(OR(C334="Purchase",C334="Fee",C334="Withdrawal"),-(H334+I334),H334-I334))</f>
        <v/>
      </c>
      <c r="K334" s="2"/>
      <c r="L334" s="2"/>
      <c r="M334" s="2"/>
    </row>
    <row r="335" customFormat="false" ht="15" hidden="false" customHeight="false" outlineLevel="0" collapsed="false">
      <c r="A335" s="2"/>
      <c r="B335" s="11"/>
      <c r="C335" s="2"/>
      <c r="D335" s="2"/>
      <c r="E335" s="2"/>
      <c r="F335" s="2"/>
      <c r="G335" s="2"/>
      <c r="H335" s="23"/>
      <c r="I335" s="23"/>
      <c r="J335" s="23" t="str">
        <f aca="false">IF(C335="","",IF(OR(C335="Purchase",C335="Fee",C335="Withdrawal"),-(H335+I335),H335-I335))</f>
        <v/>
      </c>
      <c r="K335" s="2"/>
      <c r="L335" s="2"/>
      <c r="M335" s="2"/>
    </row>
    <row r="336" customFormat="false" ht="15" hidden="false" customHeight="false" outlineLevel="0" collapsed="false">
      <c r="A336" s="2"/>
      <c r="B336" s="11"/>
      <c r="C336" s="2"/>
      <c r="D336" s="2"/>
      <c r="E336" s="2"/>
      <c r="F336" s="2"/>
      <c r="G336" s="2"/>
      <c r="H336" s="23"/>
      <c r="I336" s="23"/>
      <c r="J336" s="23" t="str">
        <f aca="false">IF(C336="","",IF(OR(C336="Purchase",C336="Fee",C336="Withdrawal"),-(H336+I336),H336-I336))</f>
        <v/>
      </c>
      <c r="K336" s="2"/>
      <c r="L336" s="2"/>
      <c r="M336" s="2"/>
    </row>
    <row r="337" customFormat="false" ht="15" hidden="false" customHeight="false" outlineLevel="0" collapsed="false">
      <c r="A337" s="2"/>
      <c r="B337" s="11"/>
      <c r="C337" s="2"/>
      <c r="D337" s="2"/>
      <c r="E337" s="2"/>
      <c r="F337" s="2"/>
      <c r="G337" s="2"/>
      <c r="H337" s="23"/>
      <c r="I337" s="23"/>
      <c r="J337" s="23" t="str">
        <f aca="false">IF(C337="","",IF(OR(C337="Purchase",C337="Fee",C337="Withdrawal"),-(H337+I337),H337-I337))</f>
        <v/>
      </c>
      <c r="K337" s="2"/>
      <c r="L337" s="2"/>
      <c r="M337" s="2"/>
    </row>
    <row r="338" customFormat="false" ht="15" hidden="false" customHeight="false" outlineLevel="0" collapsed="false">
      <c r="A338" s="2"/>
      <c r="B338" s="11"/>
      <c r="C338" s="2"/>
      <c r="D338" s="2"/>
      <c r="E338" s="2"/>
      <c r="F338" s="2"/>
      <c r="G338" s="2"/>
      <c r="H338" s="23"/>
      <c r="I338" s="23"/>
      <c r="J338" s="23" t="str">
        <f aca="false">IF(C338="","",IF(OR(C338="Purchase",C338="Fee",C338="Withdrawal"),-(H338+I338),H338-I338))</f>
        <v/>
      </c>
      <c r="K338" s="2"/>
      <c r="L338" s="2"/>
      <c r="M338" s="2"/>
    </row>
    <row r="339" customFormat="false" ht="15" hidden="false" customHeight="false" outlineLevel="0" collapsed="false">
      <c r="A339" s="2"/>
      <c r="B339" s="11"/>
      <c r="C339" s="2"/>
      <c r="D339" s="2"/>
      <c r="E339" s="2"/>
      <c r="F339" s="2"/>
      <c r="G339" s="2"/>
      <c r="H339" s="23"/>
      <c r="I339" s="23"/>
      <c r="J339" s="23" t="str">
        <f aca="false">IF(C339="","",IF(OR(C339="Purchase",C339="Fee",C339="Withdrawal"),-(H339+I339),H339-I339))</f>
        <v/>
      </c>
      <c r="K339" s="2"/>
      <c r="L339" s="2"/>
      <c r="M339" s="2"/>
    </row>
    <row r="340" customFormat="false" ht="15" hidden="false" customHeight="false" outlineLevel="0" collapsed="false">
      <c r="A340" s="2"/>
      <c r="B340" s="11"/>
      <c r="C340" s="2"/>
      <c r="D340" s="2"/>
      <c r="E340" s="2"/>
      <c r="F340" s="2"/>
      <c r="G340" s="2"/>
      <c r="H340" s="23"/>
      <c r="I340" s="23"/>
      <c r="J340" s="23" t="str">
        <f aca="false">IF(C340="","",IF(OR(C340="Purchase",C340="Fee",C340="Withdrawal"),-(H340+I340),H340-I340))</f>
        <v/>
      </c>
      <c r="K340" s="2"/>
      <c r="L340" s="2"/>
      <c r="M340" s="2"/>
    </row>
    <row r="341" customFormat="false" ht="15" hidden="false" customHeight="false" outlineLevel="0" collapsed="false">
      <c r="A341" s="2"/>
      <c r="B341" s="11"/>
      <c r="C341" s="2"/>
      <c r="D341" s="2"/>
      <c r="E341" s="2"/>
      <c r="F341" s="2"/>
      <c r="G341" s="2"/>
      <c r="H341" s="23"/>
      <c r="I341" s="23"/>
      <c r="J341" s="23" t="str">
        <f aca="false">IF(C341="","",IF(OR(C341="Purchase",C341="Fee",C341="Withdrawal"),-(H341+I341),H341-I341))</f>
        <v/>
      </c>
      <c r="K341" s="2"/>
      <c r="L341" s="2"/>
      <c r="M341" s="2"/>
    </row>
    <row r="342" customFormat="false" ht="15" hidden="false" customHeight="false" outlineLevel="0" collapsed="false">
      <c r="A342" s="2"/>
      <c r="B342" s="11"/>
      <c r="C342" s="2"/>
      <c r="D342" s="2"/>
      <c r="E342" s="2"/>
      <c r="F342" s="2"/>
      <c r="G342" s="2"/>
      <c r="H342" s="23"/>
      <c r="I342" s="23"/>
      <c r="J342" s="23" t="str">
        <f aca="false">IF(C342="","",IF(OR(C342="Purchase",C342="Fee",C342="Withdrawal"),-(H342+I342),H342-I342))</f>
        <v/>
      </c>
      <c r="K342" s="2"/>
      <c r="L342" s="2"/>
      <c r="M342" s="2"/>
    </row>
    <row r="343" customFormat="false" ht="15" hidden="false" customHeight="false" outlineLevel="0" collapsed="false">
      <c r="A343" s="2"/>
      <c r="B343" s="11"/>
      <c r="C343" s="2"/>
      <c r="D343" s="2"/>
      <c r="E343" s="2"/>
      <c r="F343" s="2"/>
      <c r="G343" s="2"/>
      <c r="H343" s="23"/>
      <c r="I343" s="23"/>
      <c r="J343" s="23" t="str">
        <f aca="false">IF(C343="","",IF(OR(C343="Purchase",C343="Fee",C343="Withdrawal"),-(H343+I343),H343-I343))</f>
        <v/>
      </c>
      <c r="K343" s="2"/>
      <c r="L343" s="2"/>
      <c r="M343" s="2"/>
    </row>
    <row r="344" customFormat="false" ht="15" hidden="false" customHeight="false" outlineLevel="0" collapsed="false">
      <c r="A344" s="2"/>
      <c r="B344" s="11"/>
      <c r="C344" s="2"/>
      <c r="D344" s="2"/>
      <c r="E344" s="2"/>
      <c r="F344" s="2"/>
      <c r="G344" s="2"/>
      <c r="H344" s="23"/>
      <c r="I344" s="23"/>
      <c r="J344" s="23" t="str">
        <f aca="false">IF(C344="","",IF(OR(C344="Purchase",C344="Fee",C344="Withdrawal"),-(H344+I344),H344-I344))</f>
        <v/>
      </c>
      <c r="K344" s="2"/>
      <c r="L344" s="2"/>
      <c r="M344" s="2"/>
    </row>
    <row r="345" customFormat="false" ht="15" hidden="false" customHeight="false" outlineLevel="0" collapsed="false">
      <c r="A345" s="2"/>
      <c r="B345" s="11"/>
      <c r="C345" s="2"/>
      <c r="D345" s="2"/>
      <c r="E345" s="2"/>
      <c r="F345" s="2"/>
      <c r="G345" s="2"/>
      <c r="H345" s="23"/>
      <c r="I345" s="23"/>
      <c r="J345" s="23" t="str">
        <f aca="false">IF(C345="","",IF(OR(C345="Purchase",C345="Fee",C345="Withdrawal"),-(H345+I345),H345-I345))</f>
        <v/>
      </c>
      <c r="K345" s="2"/>
      <c r="L345" s="2"/>
      <c r="M345" s="2"/>
    </row>
    <row r="346" customFormat="false" ht="15" hidden="false" customHeight="false" outlineLevel="0" collapsed="false">
      <c r="A346" s="2"/>
      <c r="B346" s="11"/>
      <c r="C346" s="2"/>
      <c r="D346" s="2"/>
      <c r="E346" s="2"/>
      <c r="F346" s="2"/>
      <c r="G346" s="2"/>
      <c r="H346" s="23"/>
      <c r="I346" s="23"/>
      <c r="J346" s="23" t="str">
        <f aca="false">IF(C346="","",IF(OR(C346="Purchase",C346="Fee",C346="Withdrawal"),-(H346+I346),H346-I346))</f>
        <v/>
      </c>
      <c r="K346" s="2"/>
      <c r="L346" s="2"/>
      <c r="M346" s="2"/>
    </row>
    <row r="347" customFormat="false" ht="15" hidden="false" customHeight="false" outlineLevel="0" collapsed="false">
      <c r="A347" s="2"/>
      <c r="B347" s="11"/>
      <c r="C347" s="2"/>
      <c r="D347" s="2"/>
      <c r="E347" s="2"/>
      <c r="F347" s="2"/>
      <c r="G347" s="2"/>
      <c r="H347" s="23"/>
      <c r="I347" s="23"/>
      <c r="J347" s="23" t="str">
        <f aca="false">IF(C347="","",IF(OR(C347="Purchase",C347="Fee",C347="Withdrawal"),-(H347+I347),H347-I347))</f>
        <v/>
      </c>
      <c r="K347" s="2"/>
      <c r="L347" s="2"/>
      <c r="M347" s="2"/>
    </row>
    <row r="348" customFormat="false" ht="15" hidden="false" customHeight="false" outlineLevel="0" collapsed="false">
      <c r="A348" s="2"/>
      <c r="B348" s="11"/>
      <c r="C348" s="2"/>
      <c r="D348" s="2"/>
      <c r="E348" s="2"/>
      <c r="F348" s="2"/>
      <c r="G348" s="2"/>
      <c r="H348" s="23"/>
      <c r="I348" s="23"/>
      <c r="J348" s="23" t="str">
        <f aca="false">IF(C348="","",IF(OR(C348="Purchase",C348="Fee",C348="Withdrawal"),-(H348+I348),H348-I348))</f>
        <v/>
      </c>
      <c r="K348" s="2"/>
      <c r="L348" s="2"/>
      <c r="M348" s="2"/>
    </row>
    <row r="349" customFormat="false" ht="15" hidden="false" customHeight="false" outlineLevel="0" collapsed="false">
      <c r="A349" s="2"/>
      <c r="B349" s="11"/>
      <c r="C349" s="2"/>
      <c r="D349" s="2"/>
      <c r="E349" s="2"/>
      <c r="F349" s="2"/>
      <c r="G349" s="2"/>
      <c r="H349" s="23"/>
      <c r="I349" s="23"/>
      <c r="J349" s="23" t="str">
        <f aca="false">IF(C349="","",IF(OR(C349="Purchase",C349="Fee",C349="Withdrawal"),-(H349+I349),H349-I349))</f>
        <v/>
      </c>
      <c r="K349" s="2"/>
      <c r="L349" s="2"/>
      <c r="M349" s="2"/>
    </row>
    <row r="350" customFormat="false" ht="15" hidden="false" customHeight="false" outlineLevel="0" collapsed="false">
      <c r="A350" s="2"/>
      <c r="B350" s="11"/>
      <c r="C350" s="2"/>
      <c r="D350" s="2"/>
      <c r="E350" s="2"/>
      <c r="F350" s="2"/>
      <c r="G350" s="2"/>
      <c r="H350" s="23"/>
      <c r="I350" s="23"/>
      <c r="J350" s="23" t="str">
        <f aca="false">IF(C350="","",IF(OR(C350="Purchase",C350="Fee",C350="Withdrawal"),-(H350+I350),H350-I350))</f>
        <v/>
      </c>
      <c r="K350" s="2"/>
      <c r="L350" s="2"/>
      <c r="M350" s="2"/>
    </row>
    <row r="351" customFormat="false" ht="15" hidden="false" customHeight="false" outlineLevel="0" collapsed="false">
      <c r="A351" s="2"/>
      <c r="B351" s="11"/>
      <c r="C351" s="2"/>
      <c r="D351" s="2"/>
      <c r="E351" s="2"/>
      <c r="F351" s="2"/>
      <c r="G351" s="2"/>
      <c r="H351" s="23"/>
      <c r="I351" s="23"/>
      <c r="J351" s="23" t="str">
        <f aca="false">IF(C351="","",IF(OR(C351="Purchase",C351="Fee",C351="Withdrawal"),-(H351+I351),H351-I351))</f>
        <v/>
      </c>
      <c r="K351" s="2"/>
      <c r="L351" s="2"/>
      <c r="M351" s="2"/>
    </row>
    <row r="352" customFormat="false" ht="15" hidden="false" customHeight="false" outlineLevel="0" collapsed="false">
      <c r="A352" s="2"/>
      <c r="B352" s="11"/>
      <c r="C352" s="2"/>
      <c r="D352" s="2"/>
      <c r="E352" s="2"/>
      <c r="F352" s="2"/>
      <c r="G352" s="2"/>
      <c r="H352" s="23"/>
      <c r="I352" s="23"/>
      <c r="J352" s="23" t="str">
        <f aca="false">IF(C352="","",IF(OR(C352="Purchase",C352="Fee",C352="Withdrawal"),-(H352+I352),H352-I352))</f>
        <v/>
      </c>
      <c r="K352" s="2"/>
      <c r="L352" s="2"/>
      <c r="M352" s="2"/>
    </row>
    <row r="353" customFormat="false" ht="15" hidden="false" customHeight="false" outlineLevel="0" collapsed="false">
      <c r="A353" s="2"/>
      <c r="B353" s="11"/>
      <c r="C353" s="2"/>
      <c r="D353" s="2"/>
      <c r="E353" s="2"/>
      <c r="F353" s="2"/>
      <c r="G353" s="2"/>
      <c r="H353" s="23"/>
      <c r="I353" s="23"/>
      <c r="J353" s="23" t="str">
        <f aca="false">IF(C353="","",IF(OR(C353="Purchase",C353="Fee",C353="Withdrawal"),-(H353+I353),H353-I353))</f>
        <v/>
      </c>
      <c r="K353" s="2"/>
      <c r="L353" s="2"/>
      <c r="M353" s="2"/>
    </row>
    <row r="354" customFormat="false" ht="15" hidden="false" customHeight="false" outlineLevel="0" collapsed="false">
      <c r="A354" s="2"/>
      <c r="B354" s="11"/>
      <c r="C354" s="2"/>
      <c r="D354" s="2"/>
      <c r="E354" s="2"/>
      <c r="F354" s="2"/>
      <c r="G354" s="2"/>
      <c r="H354" s="23"/>
      <c r="I354" s="23"/>
      <c r="J354" s="23" t="str">
        <f aca="false">IF(C354="","",IF(OR(C354="Purchase",C354="Fee",C354="Withdrawal"),-(H354+I354),H354-I354))</f>
        <v/>
      </c>
      <c r="K354" s="2"/>
      <c r="L354" s="2"/>
      <c r="M354" s="2"/>
    </row>
    <row r="355" customFormat="false" ht="15" hidden="false" customHeight="false" outlineLevel="0" collapsed="false">
      <c r="A355" s="2"/>
      <c r="B355" s="11"/>
      <c r="C355" s="2"/>
      <c r="D355" s="2"/>
      <c r="E355" s="2"/>
      <c r="F355" s="2"/>
      <c r="G355" s="2"/>
      <c r="H355" s="23"/>
      <c r="I355" s="23"/>
      <c r="J355" s="23" t="str">
        <f aca="false">IF(C355="","",IF(OR(C355="Purchase",C355="Fee",C355="Withdrawal"),-(H355+I355),H355-I355))</f>
        <v/>
      </c>
      <c r="K355" s="2"/>
      <c r="L355" s="2"/>
      <c r="M355" s="2"/>
    </row>
    <row r="356" customFormat="false" ht="15" hidden="false" customHeight="false" outlineLevel="0" collapsed="false">
      <c r="A356" s="2"/>
      <c r="B356" s="11"/>
      <c r="C356" s="2"/>
      <c r="D356" s="2"/>
      <c r="E356" s="2"/>
      <c r="F356" s="2"/>
      <c r="G356" s="2"/>
      <c r="H356" s="23"/>
      <c r="I356" s="23"/>
      <c r="J356" s="23" t="str">
        <f aca="false">IF(C356="","",IF(OR(C356="Purchase",C356="Fee",C356="Withdrawal"),-(H356+I356),H356-I356))</f>
        <v/>
      </c>
      <c r="K356" s="2"/>
      <c r="L356" s="2"/>
      <c r="M356" s="2"/>
    </row>
    <row r="357" customFormat="false" ht="15" hidden="false" customHeight="false" outlineLevel="0" collapsed="false">
      <c r="A357" s="2"/>
      <c r="B357" s="11"/>
      <c r="C357" s="2"/>
      <c r="D357" s="2"/>
      <c r="E357" s="2"/>
      <c r="F357" s="2"/>
      <c r="G357" s="2"/>
      <c r="H357" s="23"/>
      <c r="I357" s="23"/>
      <c r="J357" s="23" t="str">
        <f aca="false">IF(C357="","",IF(OR(C357="Purchase",C357="Fee",C357="Withdrawal"),-(H357+I357),H357-I357))</f>
        <v/>
      </c>
      <c r="K357" s="2"/>
      <c r="L357" s="2"/>
      <c r="M357" s="2"/>
    </row>
    <row r="358" customFormat="false" ht="15" hidden="false" customHeight="false" outlineLevel="0" collapsed="false">
      <c r="A358" s="2"/>
      <c r="B358" s="11"/>
      <c r="C358" s="2"/>
      <c r="D358" s="2"/>
      <c r="E358" s="2"/>
      <c r="F358" s="2"/>
      <c r="G358" s="2"/>
      <c r="H358" s="23"/>
      <c r="I358" s="23"/>
      <c r="J358" s="23" t="str">
        <f aca="false">IF(C358="","",IF(OR(C358="Purchase",C358="Fee",C358="Withdrawal"),-(H358+I358),H358-I358))</f>
        <v/>
      </c>
      <c r="K358" s="2"/>
      <c r="L358" s="2"/>
      <c r="M358" s="2"/>
    </row>
    <row r="359" customFormat="false" ht="15" hidden="false" customHeight="false" outlineLevel="0" collapsed="false">
      <c r="A359" s="2"/>
      <c r="B359" s="11"/>
      <c r="C359" s="2"/>
      <c r="D359" s="2"/>
      <c r="E359" s="2"/>
      <c r="F359" s="2"/>
      <c r="G359" s="2"/>
      <c r="H359" s="23"/>
      <c r="I359" s="23"/>
      <c r="J359" s="23" t="str">
        <f aca="false">IF(C359="","",IF(OR(C359="Purchase",C359="Fee",C359="Withdrawal"),-(H359+I359),H359-I359))</f>
        <v/>
      </c>
      <c r="K359" s="2"/>
      <c r="L359" s="2"/>
      <c r="M359" s="2"/>
    </row>
    <row r="360" customFormat="false" ht="15" hidden="false" customHeight="false" outlineLevel="0" collapsed="false">
      <c r="A360" s="2"/>
      <c r="B360" s="11"/>
      <c r="C360" s="2"/>
      <c r="D360" s="2"/>
      <c r="E360" s="2"/>
      <c r="F360" s="2"/>
      <c r="G360" s="2"/>
      <c r="H360" s="23"/>
      <c r="I360" s="23"/>
      <c r="J360" s="23" t="str">
        <f aca="false">IF(C360="","",IF(OR(C360="Purchase",C360="Fee",C360="Withdrawal"),-(H360+I360),H360-I360))</f>
        <v/>
      </c>
      <c r="K360" s="2"/>
      <c r="L360" s="2"/>
      <c r="M360" s="2"/>
    </row>
    <row r="361" customFormat="false" ht="15" hidden="false" customHeight="false" outlineLevel="0" collapsed="false">
      <c r="A361" s="2"/>
      <c r="B361" s="11"/>
      <c r="C361" s="2"/>
      <c r="D361" s="2"/>
      <c r="E361" s="2"/>
      <c r="F361" s="2"/>
      <c r="G361" s="2"/>
      <c r="H361" s="23"/>
      <c r="I361" s="23"/>
      <c r="J361" s="23" t="str">
        <f aca="false">IF(C361="","",IF(OR(C361="Purchase",C361="Fee",C361="Withdrawal"),-(H361+I361),H361-I361))</f>
        <v/>
      </c>
      <c r="K361" s="2"/>
      <c r="L361" s="2"/>
      <c r="M361" s="2"/>
    </row>
    <row r="362" customFormat="false" ht="15" hidden="false" customHeight="false" outlineLevel="0" collapsed="false">
      <c r="A362" s="2"/>
      <c r="B362" s="11"/>
      <c r="C362" s="2"/>
      <c r="D362" s="2"/>
      <c r="E362" s="2"/>
      <c r="F362" s="2"/>
      <c r="G362" s="2"/>
      <c r="H362" s="23"/>
      <c r="I362" s="23"/>
      <c r="J362" s="23" t="str">
        <f aca="false">IF(C362="","",IF(OR(C362="Purchase",C362="Fee",C362="Withdrawal"),-(H362+I362),H362-I362))</f>
        <v/>
      </c>
      <c r="K362" s="2"/>
      <c r="L362" s="2"/>
      <c r="M362" s="2"/>
    </row>
    <row r="363" customFormat="false" ht="15" hidden="false" customHeight="false" outlineLevel="0" collapsed="false">
      <c r="A363" s="2"/>
      <c r="B363" s="11"/>
      <c r="C363" s="2"/>
      <c r="D363" s="2"/>
      <c r="E363" s="2"/>
      <c r="F363" s="2"/>
      <c r="G363" s="2"/>
      <c r="H363" s="23"/>
      <c r="I363" s="23"/>
      <c r="J363" s="23" t="str">
        <f aca="false">IF(C363="","",IF(OR(C363="Purchase",C363="Fee",C363="Withdrawal"),-(H363+I363),H363-I363))</f>
        <v/>
      </c>
      <c r="K363" s="2"/>
      <c r="L363" s="2"/>
      <c r="M363" s="2"/>
    </row>
    <row r="364" customFormat="false" ht="15" hidden="false" customHeight="false" outlineLevel="0" collapsed="false">
      <c r="A364" s="2"/>
      <c r="B364" s="11"/>
      <c r="C364" s="2"/>
      <c r="D364" s="2"/>
      <c r="E364" s="2"/>
      <c r="F364" s="2"/>
      <c r="G364" s="2"/>
      <c r="H364" s="23"/>
      <c r="I364" s="23"/>
      <c r="J364" s="23" t="str">
        <f aca="false">IF(C364="","",IF(OR(C364="Purchase",C364="Fee",C364="Withdrawal"),-(H364+I364),H364-I364))</f>
        <v/>
      </c>
      <c r="K364" s="2"/>
      <c r="L364" s="2"/>
      <c r="M364" s="2"/>
    </row>
    <row r="365" customFormat="false" ht="15" hidden="false" customHeight="false" outlineLevel="0" collapsed="false">
      <c r="A365" s="2"/>
      <c r="B365" s="11"/>
      <c r="C365" s="2"/>
      <c r="D365" s="2"/>
      <c r="E365" s="2"/>
      <c r="F365" s="2"/>
      <c r="G365" s="2"/>
      <c r="H365" s="23"/>
      <c r="I365" s="23"/>
      <c r="J365" s="23" t="str">
        <f aca="false">IF(C365="","",IF(OR(C365="Purchase",C365="Fee",C365="Withdrawal"),-(H365+I365),H365-I365))</f>
        <v/>
      </c>
      <c r="K365" s="2"/>
      <c r="L365" s="2"/>
      <c r="M365" s="2"/>
    </row>
    <row r="366" customFormat="false" ht="15" hidden="false" customHeight="false" outlineLevel="0" collapsed="false">
      <c r="A366" s="2"/>
      <c r="B366" s="11"/>
      <c r="C366" s="2"/>
      <c r="D366" s="2"/>
      <c r="E366" s="2"/>
      <c r="F366" s="2"/>
      <c r="G366" s="2"/>
      <c r="H366" s="23"/>
      <c r="I366" s="23"/>
      <c r="J366" s="23" t="str">
        <f aca="false">IF(C366="","",IF(OR(C366="Purchase",C366="Fee",C366="Withdrawal"),-(H366+I366),H366-I366))</f>
        <v/>
      </c>
      <c r="K366" s="2"/>
      <c r="L366" s="2"/>
      <c r="M366" s="2"/>
    </row>
    <row r="367" customFormat="false" ht="15" hidden="false" customHeight="false" outlineLevel="0" collapsed="false">
      <c r="A367" s="2"/>
      <c r="B367" s="11"/>
      <c r="C367" s="2"/>
      <c r="D367" s="2"/>
      <c r="E367" s="2"/>
      <c r="F367" s="2"/>
      <c r="G367" s="2"/>
      <c r="H367" s="23"/>
      <c r="I367" s="23"/>
      <c r="J367" s="23" t="str">
        <f aca="false">IF(C367="","",IF(OR(C367="Purchase",C367="Fee",C367="Withdrawal"),-(H367+I367),H367-I367))</f>
        <v/>
      </c>
      <c r="K367" s="2"/>
      <c r="L367" s="2"/>
      <c r="M367" s="2"/>
    </row>
    <row r="368" customFormat="false" ht="15" hidden="false" customHeight="false" outlineLevel="0" collapsed="false">
      <c r="A368" s="2"/>
      <c r="B368" s="11"/>
      <c r="C368" s="2"/>
      <c r="D368" s="2"/>
      <c r="E368" s="2"/>
      <c r="F368" s="2"/>
      <c r="G368" s="2"/>
      <c r="H368" s="23"/>
      <c r="I368" s="23"/>
      <c r="J368" s="23" t="str">
        <f aca="false">IF(C368="","",IF(OR(C368="Purchase",C368="Fee",C368="Withdrawal"),-(H368+I368),H368-I368))</f>
        <v/>
      </c>
      <c r="K368" s="2"/>
      <c r="L368" s="2"/>
      <c r="M368" s="2"/>
    </row>
    <row r="369" customFormat="false" ht="15" hidden="false" customHeight="false" outlineLevel="0" collapsed="false">
      <c r="A369" s="2"/>
      <c r="B369" s="11"/>
      <c r="C369" s="2"/>
      <c r="D369" s="2"/>
      <c r="E369" s="2"/>
      <c r="F369" s="2"/>
      <c r="G369" s="2"/>
      <c r="H369" s="23"/>
      <c r="I369" s="23"/>
      <c r="J369" s="23" t="str">
        <f aca="false">IF(C369="","",IF(OR(C369="Purchase",C369="Fee",C369="Withdrawal"),-(H369+I369),H369-I369))</f>
        <v/>
      </c>
      <c r="K369" s="2"/>
      <c r="L369" s="2"/>
      <c r="M369" s="2"/>
    </row>
    <row r="370" customFormat="false" ht="15" hidden="false" customHeight="false" outlineLevel="0" collapsed="false">
      <c r="A370" s="2"/>
      <c r="B370" s="11"/>
      <c r="C370" s="2"/>
      <c r="D370" s="2"/>
      <c r="E370" s="2"/>
      <c r="F370" s="2"/>
      <c r="G370" s="2"/>
      <c r="H370" s="23"/>
      <c r="I370" s="23"/>
      <c r="J370" s="23" t="str">
        <f aca="false">IF(C370="","",IF(OR(C370="Purchase",C370="Fee",C370="Withdrawal"),-(H370+I370),H370-I370))</f>
        <v/>
      </c>
      <c r="K370" s="2"/>
      <c r="L370" s="2"/>
      <c r="M370" s="2"/>
    </row>
    <row r="371" customFormat="false" ht="15" hidden="false" customHeight="false" outlineLevel="0" collapsed="false">
      <c r="A371" s="2"/>
      <c r="B371" s="11"/>
      <c r="C371" s="2"/>
      <c r="D371" s="2"/>
      <c r="E371" s="2"/>
      <c r="F371" s="2"/>
      <c r="G371" s="2"/>
      <c r="H371" s="23"/>
      <c r="I371" s="23"/>
      <c r="J371" s="23" t="str">
        <f aca="false">IF(C371="","",IF(OR(C371="Purchase",C371="Fee",C371="Withdrawal"),-(H371+I371),H371-I371))</f>
        <v/>
      </c>
      <c r="K371" s="2"/>
      <c r="L371" s="2"/>
      <c r="M371" s="2"/>
    </row>
    <row r="372" customFormat="false" ht="15" hidden="false" customHeight="false" outlineLevel="0" collapsed="false">
      <c r="A372" s="2"/>
      <c r="B372" s="11"/>
      <c r="C372" s="2"/>
      <c r="D372" s="2"/>
      <c r="E372" s="2"/>
      <c r="F372" s="2"/>
      <c r="G372" s="2"/>
      <c r="H372" s="23"/>
      <c r="I372" s="23"/>
      <c r="J372" s="23" t="str">
        <f aca="false">IF(C372="","",IF(OR(C372="Purchase",C372="Fee",C372="Withdrawal"),-(H372+I372),H372-I372))</f>
        <v/>
      </c>
      <c r="K372" s="2"/>
      <c r="L372" s="2"/>
      <c r="M372" s="2"/>
    </row>
    <row r="373" customFormat="false" ht="15" hidden="false" customHeight="false" outlineLevel="0" collapsed="false">
      <c r="A373" s="2"/>
      <c r="B373" s="11"/>
      <c r="C373" s="2"/>
      <c r="D373" s="2"/>
      <c r="E373" s="2"/>
      <c r="F373" s="2"/>
      <c r="G373" s="2"/>
      <c r="H373" s="23"/>
      <c r="I373" s="23"/>
      <c r="J373" s="23" t="str">
        <f aca="false">IF(C373="","",IF(OR(C373="Purchase",C373="Fee",C373="Withdrawal"),-(H373+I373),H373-I373))</f>
        <v/>
      </c>
      <c r="K373" s="2"/>
      <c r="L373" s="2"/>
      <c r="M373" s="2"/>
    </row>
    <row r="374" customFormat="false" ht="15" hidden="false" customHeight="false" outlineLevel="0" collapsed="false">
      <c r="A374" s="2"/>
      <c r="B374" s="11"/>
      <c r="C374" s="2"/>
      <c r="D374" s="2"/>
      <c r="E374" s="2"/>
      <c r="F374" s="2"/>
      <c r="G374" s="2"/>
      <c r="H374" s="23"/>
      <c r="I374" s="23"/>
      <c r="J374" s="23" t="str">
        <f aca="false">IF(C374="","",IF(OR(C374="Purchase",C374="Fee",C374="Withdrawal"),-(H374+I374),H374-I374))</f>
        <v/>
      </c>
      <c r="K374" s="2"/>
      <c r="L374" s="2"/>
      <c r="M374" s="2"/>
    </row>
    <row r="375" customFormat="false" ht="15" hidden="false" customHeight="false" outlineLevel="0" collapsed="false">
      <c r="A375" s="2"/>
      <c r="B375" s="11"/>
      <c r="C375" s="2"/>
      <c r="D375" s="2"/>
      <c r="E375" s="2"/>
      <c r="F375" s="2"/>
      <c r="G375" s="2"/>
      <c r="H375" s="23"/>
      <c r="I375" s="23"/>
      <c r="J375" s="23" t="str">
        <f aca="false">IF(C375="","",IF(OR(C375="Purchase",C375="Fee",C375="Withdrawal"),-(H375+I375),H375-I375))</f>
        <v/>
      </c>
      <c r="K375" s="2"/>
      <c r="L375" s="2"/>
      <c r="M375" s="2"/>
    </row>
    <row r="376" customFormat="false" ht="15" hidden="false" customHeight="false" outlineLevel="0" collapsed="false">
      <c r="A376" s="2"/>
      <c r="B376" s="11"/>
      <c r="C376" s="2"/>
      <c r="D376" s="2"/>
      <c r="E376" s="2"/>
      <c r="F376" s="2"/>
      <c r="G376" s="2"/>
      <c r="H376" s="23"/>
      <c r="I376" s="23"/>
      <c r="J376" s="23" t="str">
        <f aca="false">IF(C376="","",IF(OR(C376="Purchase",C376="Fee",C376="Withdrawal"),-(H376+I376),H376-I376))</f>
        <v/>
      </c>
      <c r="K376" s="2"/>
      <c r="L376" s="2"/>
      <c r="M376" s="2"/>
    </row>
    <row r="377" customFormat="false" ht="15" hidden="false" customHeight="false" outlineLevel="0" collapsed="false">
      <c r="A377" s="2"/>
      <c r="B377" s="11"/>
      <c r="C377" s="2"/>
      <c r="D377" s="2"/>
      <c r="E377" s="2"/>
      <c r="F377" s="2"/>
      <c r="G377" s="2"/>
      <c r="H377" s="23"/>
      <c r="I377" s="23"/>
      <c r="J377" s="23" t="str">
        <f aca="false">IF(C377="","",IF(OR(C377="Purchase",C377="Fee",C377="Withdrawal"),-(H377+I377),H377-I377))</f>
        <v/>
      </c>
      <c r="K377" s="2"/>
      <c r="L377" s="2"/>
      <c r="M377" s="2"/>
    </row>
    <row r="378" customFormat="false" ht="15" hidden="false" customHeight="false" outlineLevel="0" collapsed="false">
      <c r="A378" s="2"/>
      <c r="B378" s="11"/>
      <c r="C378" s="2"/>
      <c r="D378" s="2"/>
      <c r="E378" s="2"/>
      <c r="F378" s="2"/>
      <c r="G378" s="2"/>
      <c r="H378" s="23"/>
      <c r="I378" s="23"/>
      <c r="J378" s="23" t="str">
        <f aca="false">IF(C378="","",IF(OR(C378="Purchase",C378="Fee",C378="Withdrawal"),-(H378+I378),H378-I378))</f>
        <v/>
      </c>
      <c r="K378" s="2"/>
      <c r="L378" s="2"/>
      <c r="M378" s="2"/>
    </row>
    <row r="379" customFormat="false" ht="15" hidden="false" customHeight="false" outlineLevel="0" collapsed="false">
      <c r="A379" s="2"/>
      <c r="B379" s="11"/>
      <c r="C379" s="2"/>
      <c r="D379" s="2"/>
      <c r="E379" s="2"/>
      <c r="F379" s="2"/>
      <c r="G379" s="2"/>
      <c r="H379" s="23"/>
      <c r="I379" s="23"/>
      <c r="J379" s="23" t="str">
        <f aca="false">IF(C379="","",IF(OR(C379="Purchase",C379="Fee",C379="Withdrawal"),-(H379+I379),H379-I379))</f>
        <v/>
      </c>
      <c r="K379" s="2"/>
      <c r="L379" s="2"/>
      <c r="M379" s="2"/>
    </row>
    <row r="380" customFormat="false" ht="15" hidden="false" customHeight="false" outlineLevel="0" collapsed="false">
      <c r="A380" s="2"/>
      <c r="B380" s="11"/>
      <c r="C380" s="2"/>
      <c r="D380" s="2"/>
      <c r="E380" s="2"/>
      <c r="F380" s="2"/>
      <c r="G380" s="2"/>
      <c r="H380" s="23"/>
      <c r="I380" s="23"/>
      <c r="J380" s="23" t="str">
        <f aca="false">IF(C380="","",IF(OR(C380="Purchase",C380="Fee",C380="Withdrawal"),-(H380+I380),H380-I380))</f>
        <v/>
      </c>
      <c r="K380" s="2"/>
      <c r="L380" s="2"/>
      <c r="M380" s="2"/>
    </row>
    <row r="381" customFormat="false" ht="15" hidden="false" customHeight="false" outlineLevel="0" collapsed="false">
      <c r="A381" s="2"/>
      <c r="B381" s="11"/>
      <c r="C381" s="2"/>
      <c r="D381" s="2"/>
      <c r="E381" s="2"/>
      <c r="F381" s="2"/>
      <c r="G381" s="2"/>
      <c r="H381" s="23"/>
      <c r="I381" s="23"/>
      <c r="J381" s="23" t="str">
        <f aca="false">IF(C381="","",IF(OR(C381="Purchase",C381="Fee",C381="Withdrawal"),-(H381+I381),H381-I381))</f>
        <v/>
      </c>
      <c r="K381" s="2"/>
      <c r="L381" s="2"/>
      <c r="M381" s="2"/>
    </row>
    <row r="382" customFormat="false" ht="15" hidden="false" customHeight="false" outlineLevel="0" collapsed="false">
      <c r="A382" s="2"/>
      <c r="B382" s="11"/>
      <c r="C382" s="2"/>
      <c r="D382" s="2"/>
      <c r="E382" s="2"/>
      <c r="F382" s="2"/>
      <c r="G382" s="2"/>
      <c r="H382" s="23"/>
      <c r="I382" s="23"/>
      <c r="J382" s="23" t="str">
        <f aca="false">IF(C382="","",IF(OR(C382="Purchase",C382="Fee",C382="Withdrawal"),-(H382+I382),H382-I382))</f>
        <v/>
      </c>
      <c r="K382" s="2"/>
      <c r="L382" s="2"/>
      <c r="M382" s="2"/>
    </row>
    <row r="383" customFormat="false" ht="15" hidden="false" customHeight="false" outlineLevel="0" collapsed="false">
      <c r="A383" s="2"/>
      <c r="B383" s="11"/>
      <c r="C383" s="2"/>
      <c r="D383" s="2"/>
      <c r="E383" s="2"/>
      <c r="F383" s="2"/>
      <c r="G383" s="2"/>
      <c r="H383" s="23"/>
      <c r="I383" s="23"/>
      <c r="J383" s="23" t="str">
        <f aca="false">IF(C383="","",IF(OR(C383="Purchase",C383="Fee",C383="Withdrawal"),-(H383+I383),H383-I383))</f>
        <v/>
      </c>
      <c r="K383" s="2"/>
      <c r="L383" s="2"/>
      <c r="M383" s="2"/>
    </row>
    <row r="384" customFormat="false" ht="15" hidden="false" customHeight="false" outlineLevel="0" collapsed="false">
      <c r="A384" s="2"/>
      <c r="B384" s="11"/>
      <c r="C384" s="2"/>
      <c r="D384" s="2"/>
      <c r="E384" s="2"/>
      <c r="F384" s="2"/>
      <c r="G384" s="2"/>
      <c r="H384" s="23"/>
      <c r="I384" s="23"/>
      <c r="J384" s="23" t="str">
        <f aca="false">IF(C384="","",IF(OR(C384="Purchase",C384="Fee",C384="Withdrawal"),-(H384+I384),H384-I384))</f>
        <v/>
      </c>
      <c r="K384" s="2"/>
      <c r="L384" s="2"/>
      <c r="M384" s="2"/>
    </row>
    <row r="385" customFormat="false" ht="15" hidden="false" customHeight="false" outlineLevel="0" collapsed="false">
      <c r="A385" s="2"/>
      <c r="B385" s="11"/>
      <c r="C385" s="2"/>
      <c r="D385" s="2"/>
      <c r="E385" s="2"/>
      <c r="F385" s="2"/>
      <c r="G385" s="2"/>
      <c r="H385" s="23"/>
      <c r="I385" s="23"/>
      <c r="J385" s="23" t="str">
        <f aca="false">IF(C385="","",IF(OR(C385="Purchase",C385="Fee",C385="Withdrawal"),-(H385+I385),H385-I385))</f>
        <v/>
      </c>
      <c r="K385" s="2"/>
      <c r="L385" s="2"/>
      <c r="M385" s="2"/>
    </row>
    <row r="386" customFormat="false" ht="15" hidden="false" customHeight="false" outlineLevel="0" collapsed="false">
      <c r="A386" s="2"/>
      <c r="B386" s="11"/>
      <c r="C386" s="2"/>
      <c r="D386" s="2"/>
      <c r="E386" s="2"/>
      <c r="F386" s="2"/>
      <c r="G386" s="2"/>
      <c r="H386" s="23"/>
      <c r="I386" s="23"/>
      <c r="J386" s="23" t="str">
        <f aca="false">IF(C386="","",IF(OR(C386="Purchase",C386="Fee",C386="Withdrawal"),-(H386+I386),H386-I386))</f>
        <v/>
      </c>
      <c r="K386" s="2"/>
      <c r="L386" s="2"/>
      <c r="M386" s="2"/>
    </row>
    <row r="387" customFormat="false" ht="15" hidden="false" customHeight="false" outlineLevel="0" collapsed="false">
      <c r="A387" s="2"/>
      <c r="B387" s="11"/>
      <c r="C387" s="2"/>
      <c r="D387" s="2"/>
      <c r="E387" s="2"/>
      <c r="F387" s="2"/>
      <c r="G387" s="2"/>
      <c r="H387" s="23"/>
      <c r="I387" s="23"/>
      <c r="J387" s="23" t="str">
        <f aca="false">IF(C387="","",IF(OR(C387="Purchase",C387="Fee",C387="Withdrawal"),-(H387+I387),H387-I387))</f>
        <v/>
      </c>
      <c r="K387" s="2"/>
      <c r="L387" s="2"/>
      <c r="M387" s="2"/>
    </row>
    <row r="388" customFormat="false" ht="15" hidden="false" customHeight="false" outlineLevel="0" collapsed="false">
      <c r="A388" s="2"/>
      <c r="B388" s="11"/>
      <c r="C388" s="2"/>
      <c r="D388" s="2"/>
      <c r="E388" s="2"/>
      <c r="F388" s="2"/>
      <c r="G388" s="2"/>
      <c r="H388" s="23"/>
      <c r="I388" s="23"/>
      <c r="J388" s="23" t="str">
        <f aca="false">IF(C388="","",IF(OR(C388="Purchase",C388="Fee",C388="Withdrawal"),-(H388+I388),H388-I388))</f>
        <v/>
      </c>
      <c r="K388" s="2"/>
      <c r="L388" s="2"/>
      <c r="M388" s="2"/>
    </row>
    <row r="389" customFormat="false" ht="15" hidden="false" customHeight="false" outlineLevel="0" collapsed="false">
      <c r="A389" s="2"/>
      <c r="B389" s="11"/>
      <c r="C389" s="2"/>
      <c r="D389" s="2"/>
      <c r="E389" s="2"/>
      <c r="F389" s="2"/>
      <c r="G389" s="2"/>
      <c r="H389" s="23"/>
      <c r="I389" s="23"/>
      <c r="J389" s="23" t="str">
        <f aca="false">IF(C389="","",IF(OR(C389="Purchase",C389="Fee",C389="Withdrawal"),-(H389+I389),H389-I389))</f>
        <v/>
      </c>
      <c r="K389" s="2"/>
      <c r="L389" s="2"/>
      <c r="M389" s="2"/>
    </row>
    <row r="390" customFormat="false" ht="15" hidden="false" customHeight="false" outlineLevel="0" collapsed="false">
      <c r="A390" s="2"/>
      <c r="B390" s="11"/>
      <c r="C390" s="2"/>
      <c r="D390" s="2"/>
      <c r="E390" s="2"/>
      <c r="F390" s="2"/>
      <c r="G390" s="2"/>
      <c r="H390" s="23"/>
      <c r="I390" s="23"/>
      <c r="J390" s="23" t="str">
        <f aca="false">IF(C390="","",IF(OR(C390="Purchase",C390="Fee",C390="Withdrawal"),-(H390+I390),H390-I390))</f>
        <v/>
      </c>
      <c r="K390" s="2"/>
      <c r="L390" s="2"/>
      <c r="M390" s="2"/>
    </row>
    <row r="391" customFormat="false" ht="15" hidden="false" customHeight="false" outlineLevel="0" collapsed="false">
      <c r="A391" s="2"/>
      <c r="B391" s="11"/>
      <c r="C391" s="2"/>
      <c r="D391" s="2"/>
      <c r="E391" s="2"/>
      <c r="F391" s="2"/>
      <c r="G391" s="2"/>
      <c r="H391" s="23"/>
      <c r="I391" s="23"/>
      <c r="J391" s="23" t="str">
        <f aca="false">IF(C391="","",IF(OR(C391="Purchase",C391="Fee",C391="Withdrawal"),-(H391+I391),H391-I391))</f>
        <v/>
      </c>
      <c r="K391" s="2"/>
      <c r="L391" s="2"/>
      <c r="M391" s="2"/>
    </row>
    <row r="392" customFormat="false" ht="15" hidden="false" customHeight="false" outlineLevel="0" collapsed="false">
      <c r="A392" s="2"/>
      <c r="B392" s="11"/>
      <c r="C392" s="2"/>
      <c r="D392" s="2"/>
      <c r="E392" s="2"/>
      <c r="F392" s="2"/>
      <c r="G392" s="2"/>
      <c r="H392" s="23"/>
      <c r="I392" s="23"/>
      <c r="J392" s="23" t="str">
        <f aca="false">IF(C392="","",IF(OR(C392="Purchase",C392="Fee",C392="Withdrawal"),-(H392+I392),H392-I392))</f>
        <v/>
      </c>
      <c r="K392" s="2"/>
      <c r="L392" s="2"/>
      <c r="M392" s="2"/>
    </row>
    <row r="393" customFormat="false" ht="15" hidden="false" customHeight="false" outlineLevel="0" collapsed="false">
      <c r="A393" s="2"/>
      <c r="B393" s="11"/>
      <c r="C393" s="2"/>
      <c r="D393" s="2"/>
      <c r="E393" s="2"/>
      <c r="F393" s="2"/>
      <c r="G393" s="2"/>
      <c r="H393" s="23"/>
      <c r="I393" s="23"/>
      <c r="J393" s="23" t="str">
        <f aca="false">IF(C393="","",IF(OR(C393="Purchase",C393="Fee",C393="Withdrawal"),-(H393+I393),H393-I393))</f>
        <v/>
      </c>
      <c r="K393" s="2"/>
      <c r="L393" s="2"/>
      <c r="M393" s="2"/>
    </row>
    <row r="394" customFormat="false" ht="15" hidden="false" customHeight="false" outlineLevel="0" collapsed="false">
      <c r="A394" s="2"/>
      <c r="B394" s="11"/>
      <c r="C394" s="2"/>
      <c r="D394" s="2"/>
      <c r="E394" s="2"/>
      <c r="F394" s="2"/>
      <c r="G394" s="2"/>
      <c r="H394" s="23"/>
      <c r="I394" s="23"/>
      <c r="J394" s="23" t="str">
        <f aca="false">IF(C394="","",IF(OR(C394="Purchase",C394="Fee",C394="Withdrawal"),-(H394+I394),H394-I394))</f>
        <v/>
      </c>
      <c r="K394" s="2"/>
      <c r="L394" s="2"/>
      <c r="M394" s="2"/>
    </row>
    <row r="395" customFormat="false" ht="15" hidden="false" customHeight="false" outlineLevel="0" collapsed="false">
      <c r="A395" s="2"/>
      <c r="B395" s="11"/>
      <c r="C395" s="2"/>
      <c r="D395" s="2"/>
      <c r="E395" s="2"/>
      <c r="F395" s="2"/>
      <c r="G395" s="2"/>
      <c r="H395" s="23"/>
      <c r="I395" s="23"/>
      <c r="J395" s="23" t="str">
        <f aca="false">IF(C395="","",IF(OR(C395="Purchase",C395="Fee",C395="Withdrawal"),-(H395+I395),H395-I395))</f>
        <v/>
      </c>
      <c r="K395" s="2"/>
      <c r="L395" s="2"/>
      <c r="M395" s="2"/>
    </row>
    <row r="396" customFormat="false" ht="15" hidden="false" customHeight="false" outlineLevel="0" collapsed="false">
      <c r="A396" s="2"/>
      <c r="B396" s="11"/>
      <c r="C396" s="2"/>
      <c r="D396" s="2"/>
      <c r="E396" s="2"/>
      <c r="F396" s="2"/>
      <c r="G396" s="2"/>
      <c r="H396" s="23"/>
      <c r="I396" s="23"/>
      <c r="J396" s="23" t="str">
        <f aca="false">IF(C396="","",IF(OR(C396="Purchase",C396="Fee",C396="Withdrawal"),-(H396+I396),H396-I396))</f>
        <v/>
      </c>
      <c r="K396" s="2"/>
      <c r="L396" s="2"/>
      <c r="M396" s="2"/>
    </row>
    <row r="397" customFormat="false" ht="15" hidden="false" customHeight="false" outlineLevel="0" collapsed="false">
      <c r="A397" s="2"/>
      <c r="B397" s="11"/>
      <c r="C397" s="2"/>
      <c r="D397" s="2"/>
      <c r="E397" s="2"/>
      <c r="F397" s="2"/>
      <c r="G397" s="2"/>
      <c r="H397" s="23"/>
      <c r="I397" s="23"/>
      <c r="J397" s="23" t="str">
        <f aca="false">IF(C397="","",IF(OR(C397="Purchase",C397="Fee",C397="Withdrawal"),-(H397+I397),H397-I397))</f>
        <v/>
      </c>
      <c r="K397" s="2"/>
      <c r="L397" s="2"/>
      <c r="M397" s="2"/>
    </row>
    <row r="398" customFormat="false" ht="15" hidden="false" customHeight="false" outlineLevel="0" collapsed="false">
      <c r="A398" s="2"/>
      <c r="B398" s="11"/>
      <c r="C398" s="2"/>
      <c r="D398" s="2"/>
      <c r="E398" s="2"/>
      <c r="F398" s="2"/>
      <c r="G398" s="2"/>
      <c r="H398" s="23"/>
      <c r="I398" s="23"/>
      <c r="J398" s="23" t="str">
        <f aca="false">IF(C398="","",IF(OR(C398="Purchase",C398="Fee",C398="Withdrawal"),-(H398+I398),H398-I398))</f>
        <v/>
      </c>
      <c r="K398" s="2"/>
      <c r="L398" s="2"/>
      <c r="M398" s="2"/>
    </row>
    <row r="399" customFormat="false" ht="15" hidden="false" customHeight="false" outlineLevel="0" collapsed="false">
      <c r="A399" s="2"/>
      <c r="B399" s="11"/>
      <c r="C399" s="2"/>
      <c r="D399" s="2"/>
      <c r="E399" s="2"/>
      <c r="F399" s="2"/>
      <c r="G399" s="2"/>
      <c r="H399" s="23"/>
      <c r="I399" s="23"/>
      <c r="J399" s="23" t="str">
        <f aca="false">IF(C399="","",IF(OR(C399="Purchase",C399="Fee",C399="Withdrawal"),-(H399+I399),H399-I399))</f>
        <v/>
      </c>
      <c r="K399" s="2"/>
      <c r="L399" s="2"/>
      <c r="M399" s="2"/>
    </row>
    <row r="400" customFormat="false" ht="15" hidden="false" customHeight="false" outlineLevel="0" collapsed="false">
      <c r="A400" s="2"/>
      <c r="B400" s="11"/>
      <c r="C400" s="2"/>
      <c r="D400" s="2"/>
      <c r="E400" s="2"/>
      <c r="F400" s="2"/>
      <c r="G400" s="2"/>
      <c r="H400" s="23"/>
      <c r="I400" s="23"/>
      <c r="J400" s="23" t="str">
        <f aca="false">IF(C400="","",IF(OR(C400="Purchase",C400="Fee",C400="Withdrawal"),-(H400+I400),H400-I400))</f>
        <v/>
      </c>
      <c r="K400" s="2"/>
      <c r="L400" s="2"/>
      <c r="M400" s="2"/>
    </row>
    <row r="401" customFormat="false" ht="15" hidden="false" customHeight="false" outlineLevel="0" collapsed="false">
      <c r="A401" s="2"/>
      <c r="B401" s="11"/>
      <c r="C401" s="2"/>
      <c r="D401" s="2"/>
      <c r="E401" s="2"/>
      <c r="F401" s="2"/>
      <c r="G401" s="2"/>
      <c r="H401" s="23"/>
      <c r="I401" s="23"/>
      <c r="J401" s="23" t="str">
        <f aca="false">IF(C401="","",IF(OR(C401="Purchase",C401="Fee",C401="Withdrawal"),-(H401+I401),H401-I401))</f>
        <v/>
      </c>
      <c r="K401" s="2"/>
      <c r="L401" s="2"/>
      <c r="M401" s="2"/>
    </row>
    <row r="402" customFormat="false" ht="15" hidden="false" customHeight="false" outlineLevel="0" collapsed="false">
      <c r="A402" s="2"/>
      <c r="B402" s="11"/>
      <c r="C402" s="2"/>
      <c r="D402" s="2"/>
      <c r="E402" s="2"/>
      <c r="F402" s="2"/>
      <c r="G402" s="2"/>
      <c r="H402" s="23"/>
      <c r="I402" s="23"/>
      <c r="J402" s="23" t="str">
        <f aca="false">IF(C402="","",IF(OR(C402="Purchase",C402="Fee",C402="Withdrawal"),-(H402+I402),H402-I402))</f>
        <v/>
      </c>
      <c r="K402" s="2"/>
      <c r="L402" s="2"/>
      <c r="M402" s="2"/>
    </row>
    <row r="403" customFormat="false" ht="15" hidden="false" customHeight="false" outlineLevel="0" collapsed="false">
      <c r="A403" s="2"/>
      <c r="B403" s="11"/>
      <c r="C403" s="2"/>
      <c r="D403" s="2"/>
      <c r="E403" s="2"/>
      <c r="F403" s="2"/>
      <c r="G403" s="2"/>
      <c r="H403" s="23"/>
      <c r="I403" s="23"/>
      <c r="J403" s="23" t="str">
        <f aca="false">IF(C403="","",IF(OR(C403="Purchase",C403="Fee",C403="Withdrawal"),-(H403+I403),H403-I403))</f>
        <v/>
      </c>
      <c r="K403" s="2"/>
      <c r="L403" s="2"/>
      <c r="M403" s="2"/>
    </row>
    <row r="404" customFormat="false" ht="15" hidden="false" customHeight="false" outlineLevel="0" collapsed="false">
      <c r="A404" s="2"/>
      <c r="B404" s="11"/>
      <c r="C404" s="2"/>
      <c r="D404" s="2"/>
      <c r="E404" s="2"/>
      <c r="F404" s="2"/>
      <c r="G404" s="2"/>
      <c r="H404" s="23"/>
      <c r="I404" s="23"/>
      <c r="J404" s="23" t="str">
        <f aca="false">IF(C404="","",IF(OR(C404="Purchase",C404="Fee",C404="Withdrawal"),-(H404+I404),H404-I404))</f>
        <v/>
      </c>
      <c r="K404" s="2"/>
      <c r="L404" s="2"/>
      <c r="M404" s="2"/>
    </row>
    <row r="405" customFormat="false" ht="15" hidden="false" customHeight="false" outlineLevel="0" collapsed="false">
      <c r="A405" s="2"/>
      <c r="B405" s="11"/>
      <c r="C405" s="2"/>
      <c r="D405" s="2"/>
      <c r="E405" s="2"/>
      <c r="F405" s="2"/>
      <c r="G405" s="2"/>
      <c r="H405" s="23"/>
      <c r="I405" s="23"/>
      <c r="J405" s="23" t="str">
        <f aca="false">IF(C405="","",IF(OR(C405="Purchase",C405="Fee",C405="Withdrawal"),-(H405+I405),H405-I405))</f>
        <v/>
      </c>
      <c r="K405" s="2"/>
      <c r="L405" s="2"/>
      <c r="M405" s="2"/>
    </row>
    <row r="406" customFormat="false" ht="15" hidden="false" customHeight="false" outlineLevel="0" collapsed="false">
      <c r="A406" s="2"/>
      <c r="B406" s="11"/>
      <c r="C406" s="2"/>
      <c r="D406" s="2"/>
      <c r="E406" s="2"/>
      <c r="F406" s="2"/>
      <c r="G406" s="2"/>
      <c r="H406" s="23"/>
      <c r="I406" s="23"/>
      <c r="J406" s="23" t="str">
        <f aca="false">IF(C406="","",IF(OR(C406="Purchase",C406="Fee",C406="Withdrawal"),-(H406+I406),H406-I406))</f>
        <v/>
      </c>
      <c r="K406" s="2"/>
      <c r="L406" s="2"/>
      <c r="M406" s="2"/>
    </row>
    <row r="407" customFormat="false" ht="15" hidden="false" customHeight="false" outlineLevel="0" collapsed="false">
      <c r="A407" s="2"/>
      <c r="B407" s="11"/>
      <c r="C407" s="2"/>
      <c r="D407" s="2"/>
      <c r="E407" s="2"/>
      <c r="F407" s="2"/>
      <c r="G407" s="2"/>
      <c r="H407" s="23"/>
      <c r="I407" s="23"/>
      <c r="J407" s="23" t="str">
        <f aca="false">IF(C407="","",IF(OR(C407="Purchase",C407="Fee",C407="Withdrawal"),-(H407+I407),H407-I407))</f>
        <v/>
      </c>
      <c r="K407" s="2"/>
      <c r="L407" s="2"/>
      <c r="M407" s="2"/>
    </row>
    <row r="408" customFormat="false" ht="15" hidden="false" customHeight="false" outlineLevel="0" collapsed="false">
      <c r="A408" s="2"/>
      <c r="B408" s="11"/>
      <c r="C408" s="2"/>
      <c r="D408" s="2"/>
      <c r="E408" s="2"/>
      <c r="F408" s="2"/>
      <c r="G408" s="2"/>
      <c r="H408" s="23"/>
      <c r="I408" s="23"/>
      <c r="J408" s="23" t="str">
        <f aca="false">IF(C408="","",IF(OR(C408="Purchase",C408="Fee",C408="Withdrawal"),-(H408+I408),H408-I408))</f>
        <v/>
      </c>
      <c r="K408" s="2"/>
      <c r="L408" s="2"/>
      <c r="M408" s="2"/>
    </row>
    <row r="409" customFormat="false" ht="15" hidden="false" customHeight="false" outlineLevel="0" collapsed="false">
      <c r="A409" s="2"/>
      <c r="B409" s="11"/>
      <c r="C409" s="2"/>
      <c r="D409" s="2"/>
      <c r="E409" s="2"/>
      <c r="F409" s="2"/>
      <c r="G409" s="2"/>
      <c r="H409" s="23"/>
      <c r="I409" s="23"/>
      <c r="J409" s="23" t="str">
        <f aca="false">IF(C409="","",IF(OR(C409="Purchase",C409="Fee",C409="Withdrawal"),-(H409+I409),H409-I409))</f>
        <v/>
      </c>
      <c r="K409" s="2"/>
      <c r="L409" s="2"/>
      <c r="M409" s="2"/>
    </row>
    <row r="410" customFormat="false" ht="15" hidden="false" customHeight="false" outlineLevel="0" collapsed="false">
      <c r="A410" s="2"/>
      <c r="B410" s="11"/>
      <c r="C410" s="2"/>
      <c r="D410" s="2"/>
      <c r="E410" s="2"/>
      <c r="F410" s="2"/>
      <c r="G410" s="2"/>
      <c r="H410" s="23"/>
      <c r="I410" s="23"/>
      <c r="J410" s="23" t="str">
        <f aca="false">IF(C410="","",IF(OR(C410="Purchase",C410="Fee",C410="Withdrawal"),-(H410+I410),H410-I410))</f>
        <v/>
      </c>
      <c r="K410" s="2"/>
      <c r="L410" s="2"/>
      <c r="M410" s="2"/>
    </row>
    <row r="411" customFormat="false" ht="15" hidden="false" customHeight="false" outlineLevel="0" collapsed="false">
      <c r="A411" s="2"/>
      <c r="B411" s="11"/>
      <c r="C411" s="2"/>
      <c r="D411" s="2"/>
      <c r="E411" s="2"/>
      <c r="F411" s="2"/>
      <c r="G411" s="2"/>
      <c r="H411" s="23"/>
      <c r="I411" s="23"/>
      <c r="J411" s="23" t="str">
        <f aca="false">IF(C411="","",IF(OR(C411="Purchase",C411="Fee",C411="Withdrawal"),-(H411+I411),H411-I411))</f>
        <v/>
      </c>
      <c r="K411" s="2"/>
      <c r="L411" s="2"/>
      <c r="M411" s="2"/>
    </row>
    <row r="412" customFormat="false" ht="15" hidden="false" customHeight="false" outlineLevel="0" collapsed="false">
      <c r="A412" s="2"/>
      <c r="B412" s="11"/>
      <c r="C412" s="2"/>
      <c r="D412" s="2"/>
      <c r="E412" s="2"/>
      <c r="F412" s="2"/>
      <c r="G412" s="2"/>
      <c r="H412" s="23"/>
      <c r="I412" s="23"/>
      <c r="J412" s="23" t="str">
        <f aca="false">IF(C412="","",IF(OR(C412="Purchase",C412="Fee",C412="Withdrawal"),-(H412+I412),H412-I412))</f>
        <v/>
      </c>
      <c r="K412" s="2"/>
      <c r="L412" s="2"/>
      <c r="M412" s="2"/>
    </row>
    <row r="413" customFormat="false" ht="15" hidden="false" customHeight="false" outlineLevel="0" collapsed="false">
      <c r="A413" s="2"/>
      <c r="B413" s="11"/>
      <c r="C413" s="2"/>
      <c r="D413" s="2"/>
      <c r="E413" s="2"/>
      <c r="F413" s="2"/>
      <c r="G413" s="2"/>
      <c r="H413" s="23"/>
      <c r="I413" s="23"/>
      <c r="J413" s="23" t="str">
        <f aca="false">IF(C413="","",IF(OR(C413="Purchase",C413="Fee",C413="Withdrawal"),-(H413+I413),H413-I413))</f>
        <v/>
      </c>
      <c r="K413" s="2"/>
      <c r="L413" s="2"/>
      <c r="M413" s="2"/>
    </row>
    <row r="414" customFormat="false" ht="15" hidden="false" customHeight="false" outlineLevel="0" collapsed="false">
      <c r="A414" s="2"/>
      <c r="B414" s="11"/>
      <c r="C414" s="2"/>
      <c r="D414" s="2"/>
      <c r="E414" s="2"/>
      <c r="F414" s="2"/>
      <c r="G414" s="2"/>
      <c r="H414" s="23"/>
      <c r="I414" s="23"/>
      <c r="J414" s="23" t="str">
        <f aca="false">IF(C414="","",IF(OR(C414="Purchase",C414="Fee",C414="Withdrawal"),-(H414+I414),H414-I414))</f>
        <v/>
      </c>
      <c r="K414" s="2"/>
      <c r="L414" s="2"/>
      <c r="M414" s="2"/>
    </row>
    <row r="415" customFormat="false" ht="15" hidden="false" customHeight="false" outlineLevel="0" collapsed="false">
      <c r="A415" s="2"/>
      <c r="B415" s="11"/>
      <c r="C415" s="2"/>
      <c r="D415" s="2"/>
      <c r="E415" s="2"/>
      <c r="F415" s="2"/>
      <c r="G415" s="2"/>
      <c r="H415" s="23"/>
      <c r="I415" s="23"/>
      <c r="J415" s="23" t="str">
        <f aca="false">IF(C415="","",IF(OR(C415="Purchase",C415="Fee",C415="Withdrawal"),-(H415+I415),H415-I415))</f>
        <v/>
      </c>
      <c r="K415" s="2"/>
      <c r="L415" s="2"/>
      <c r="M415" s="2"/>
    </row>
    <row r="416" customFormat="false" ht="15" hidden="false" customHeight="false" outlineLevel="0" collapsed="false">
      <c r="A416" s="2"/>
      <c r="B416" s="11"/>
      <c r="C416" s="2"/>
      <c r="D416" s="2"/>
      <c r="E416" s="2"/>
      <c r="F416" s="2"/>
      <c r="G416" s="2"/>
      <c r="H416" s="23"/>
      <c r="I416" s="23"/>
      <c r="J416" s="23" t="str">
        <f aca="false">IF(C416="","",IF(OR(C416="Purchase",C416="Fee",C416="Withdrawal"),-(H416+I416),H416-I416))</f>
        <v/>
      </c>
      <c r="K416" s="2"/>
      <c r="L416" s="2"/>
      <c r="M416" s="2"/>
    </row>
    <row r="417" customFormat="false" ht="15" hidden="false" customHeight="false" outlineLevel="0" collapsed="false">
      <c r="A417" s="2"/>
      <c r="B417" s="11"/>
      <c r="C417" s="2"/>
      <c r="D417" s="2"/>
      <c r="E417" s="2"/>
      <c r="F417" s="2"/>
      <c r="G417" s="2"/>
      <c r="H417" s="23"/>
      <c r="I417" s="23"/>
      <c r="J417" s="23" t="str">
        <f aca="false">IF(C417="","",IF(OR(C417="Purchase",C417="Fee",C417="Withdrawal"),-(H417+I417),H417-I417))</f>
        <v/>
      </c>
      <c r="K417" s="2"/>
      <c r="L417" s="2"/>
      <c r="M417" s="2"/>
    </row>
    <row r="418" customFormat="false" ht="15" hidden="false" customHeight="false" outlineLevel="0" collapsed="false">
      <c r="A418" s="2"/>
      <c r="B418" s="11"/>
      <c r="C418" s="2"/>
      <c r="D418" s="2"/>
      <c r="E418" s="2"/>
      <c r="F418" s="2"/>
      <c r="G418" s="2"/>
      <c r="H418" s="23"/>
      <c r="I418" s="23"/>
      <c r="J418" s="23" t="str">
        <f aca="false">IF(C418="","",IF(OR(C418="Purchase",C418="Fee",C418="Withdrawal"),-(H418+I418),H418-I418))</f>
        <v/>
      </c>
      <c r="K418" s="2"/>
      <c r="L418" s="2"/>
      <c r="M418" s="2"/>
    </row>
    <row r="419" customFormat="false" ht="15" hidden="false" customHeight="false" outlineLevel="0" collapsed="false">
      <c r="A419" s="2"/>
      <c r="B419" s="11"/>
      <c r="C419" s="2"/>
      <c r="D419" s="2"/>
      <c r="E419" s="2"/>
      <c r="F419" s="2"/>
      <c r="G419" s="2"/>
      <c r="H419" s="23"/>
      <c r="I419" s="23"/>
      <c r="J419" s="23" t="str">
        <f aca="false">IF(C419="","",IF(OR(C419="Purchase",C419="Fee",C419="Withdrawal"),-(H419+I419),H419-I419))</f>
        <v/>
      </c>
      <c r="K419" s="2"/>
      <c r="L419" s="2"/>
      <c r="M419" s="2"/>
    </row>
    <row r="420" customFormat="false" ht="15" hidden="false" customHeight="false" outlineLevel="0" collapsed="false">
      <c r="A420" s="2"/>
      <c r="B420" s="11"/>
      <c r="C420" s="2"/>
      <c r="D420" s="2"/>
      <c r="E420" s="2"/>
      <c r="F420" s="2"/>
      <c r="G420" s="2"/>
      <c r="H420" s="23"/>
      <c r="I420" s="23"/>
      <c r="J420" s="23" t="str">
        <f aca="false">IF(C420="","",IF(OR(C420="Purchase",C420="Fee",C420="Withdrawal"),-(H420+I420),H420-I420))</f>
        <v/>
      </c>
      <c r="K420" s="2"/>
      <c r="L420" s="2"/>
      <c r="M420" s="2"/>
    </row>
    <row r="421" customFormat="false" ht="15" hidden="false" customHeight="false" outlineLevel="0" collapsed="false">
      <c r="A421" s="2"/>
      <c r="B421" s="11"/>
      <c r="C421" s="2"/>
      <c r="D421" s="2"/>
      <c r="E421" s="2"/>
      <c r="F421" s="2"/>
      <c r="G421" s="2"/>
      <c r="H421" s="23"/>
      <c r="I421" s="23"/>
      <c r="J421" s="23" t="str">
        <f aca="false">IF(C421="","",IF(OR(C421="Purchase",C421="Fee",C421="Withdrawal"),-(H421+I421),H421-I421))</f>
        <v/>
      </c>
      <c r="K421" s="2"/>
      <c r="L421" s="2"/>
      <c r="M421" s="2"/>
    </row>
    <row r="422" customFormat="false" ht="15" hidden="false" customHeight="false" outlineLevel="0" collapsed="false">
      <c r="A422" s="2"/>
      <c r="B422" s="11"/>
      <c r="C422" s="2"/>
      <c r="D422" s="2"/>
      <c r="E422" s="2"/>
      <c r="F422" s="2"/>
      <c r="G422" s="2"/>
      <c r="H422" s="23"/>
      <c r="I422" s="23"/>
      <c r="J422" s="23" t="str">
        <f aca="false">IF(C422="","",IF(OR(C422="Purchase",C422="Fee",C422="Withdrawal"),-(H422+I422),H422-I422))</f>
        <v/>
      </c>
      <c r="K422" s="2"/>
      <c r="L422" s="2"/>
      <c r="M422" s="2"/>
    </row>
    <row r="423" customFormat="false" ht="15" hidden="false" customHeight="false" outlineLevel="0" collapsed="false">
      <c r="A423" s="2"/>
      <c r="B423" s="11"/>
      <c r="C423" s="2"/>
      <c r="D423" s="2"/>
      <c r="E423" s="2"/>
      <c r="F423" s="2"/>
      <c r="G423" s="2"/>
      <c r="H423" s="23"/>
      <c r="I423" s="23"/>
      <c r="J423" s="23" t="str">
        <f aca="false">IF(C423="","",IF(OR(C423="Purchase",C423="Fee",C423="Withdrawal"),-(H423+I423),H423-I423))</f>
        <v/>
      </c>
      <c r="K423" s="2"/>
      <c r="L423" s="2"/>
      <c r="M423" s="2"/>
    </row>
    <row r="424" customFormat="false" ht="15" hidden="false" customHeight="false" outlineLevel="0" collapsed="false">
      <c r="A424" s="2"/>
      <c r="B424" s="11"/>
      <c r="C424" s="2"/>
      <c r="D424" s="2"/>
      <c r="E424" s="2"/>
      <c r="F424" s="2"/>
      <c r="G424" s="2"/>
      <c r="H424" s="23"/>
      <c r="I424" s="23"/>
      <c r="J424" s="23" t="str">
        <f aca="false">IF(C424="","",IF(OR(C424="Purchase",C424="Fee",C424="Withdrawal"),-(H424+I424),H424-I424))</f>
        <v/>
      </c>
      <c r="K424" s="2"/>
      <c r="L424" s="2"/>
      <c r="M424" s="2"/>
    </row>
    <row r="425" customFormat="false" ht="15" hidden="false" customHeight="false" outlineLevel="0" collapsed="false">
      <c r="A425" s="2"/>
      <c r="B425" s="11"/>
      <c r="C425" s="2"/>
      <c r="D425" s="2"/>
      <c r="E425" s="2"/>
      <c r="F425" s="2"/>
      <c r="G425" s="2"/>
      <c r="H425" s="23"/>
      <c r="I425" s="23"/>
      <c r="J425" s="23" t="str">
        <f aca="false">IF(C425="","",IF(OR(C425="Purchase",C425="Fee",C425="Withdrawal"),-(H425+I425),H425-I425))</f>
        <v/>
      </c>
      <c r="K425" s="2"/>
      <c r="L425" s="2"/>
      <c r="M425" s="2"/>
    </row>
    <row r="426" customFormat="false" ht="15" hidden="false" customHeight="false" outlineLevel="0" collapsed="false">
      <c r="A426" s="2"/>
      <c r="B426" s="11"/>
      <c r="C426" s="2"/>
      <c r="D426" s="2"/>
      <c r="E426" s="2"/>
      <c r="F426" s="2"/>
      <c r="G426" s="2"/>
      <c r="H426" s="23"/>
      <c r="I426" s="23"/>
      <c r="J426" s="23" t="str">
        <f aca="false">IF(C426="","",IF(OR(C426="Purchase",C426="Fee",C426="Withdrawal"),-(H426+I426),H426-I426))</f>
        <v/>
      </c>
      <c r="K426" s="2"/>
      <c r="L426" s="2"/>
      <c r="M426" s="2"/>
    </row>
    <row r="427" customFormat="false" ht="15" hidden="false" customHeight="false" outlineLevel="0" collapsed="false">
      <c r="A427" s="2"/>
      <c r="B427" s="11"/>
      <c r="C427" s="2"/>
      <c r="D427" s="2"/>
      <c r="E427" s="2"/>
      <c r="F427" s="2"/>
      <c r="G427" s="2"/>
      <c r="H427" s="23"/>
      <c r="I427" s="23"/>
      <c r="J427" s="23" t="str">
        <f aca="false">IF(C427="","",IF(OR(C427="Purchase",C427="Fee",C427="Withdrawal"),-(H427+I427),H427-I427))</f>
        <v/>
      </c>
      <c r="K427" s="2"/>
      <c r="L427" s="2"/>
      <c r="M427" s="2"/>
    </row>
    <row r="428" customFormat="false" ht="15" hidden="false" customHeight="false" outlineLevel="0" collapsed="false">
      <c r="A428" s="2"/>
      <c r="B428" s="11"/>
      <c r="C428" s="2"/>
      <c r="D428" s="2"/>
      <c r="E428" s="2"/>
      <c r="F428" s="2"/>
      <c r="G428" s="2"/>
      <c r="H428" s="23"/>
      <c r="I428" s="23"/>
      <c r="J428" s="23" t="str">
        <f aca="false">IF(C428="","",IF(OR(C428="Purchase",C428="Fee",C428="Withdrawal"),-(H428+I428),H428-I428))</f>
        <v/>
      </c>
      <c r="K428" s="2"/>
      <c r="L428" s="2"/>
      <c r="M428" s="2"/>
    </row>
    <row r="429" customFormat="false" ht="15" hidden="false" customHeight="false" outlineLevel="0" collapsed="false">
      <c r="A429" s="2"/>
      <c r="B429" s="11"/>
      <c r="C429" s="2"/>
      <c r="D429" s="2"/>
      <c r="E429" s="2"/>
      <c r="F429" s="2"/>
      <c r="G429" s="2"/>
      <c r="H429" s="23"/>
      <c r="I429" s="23"/>
      <c r="J429" s="23" t="str">
        <f aca="false">IF(C429="","",IF(OR(C429="Purchase",C429="Fee",C429="Withdrawal"),-(H429+I429),H429-I429))</f>
        <v/>
      </c>
      <c r="K429" s="2"/>
      <c r="L429" s="2"/>
      <c r="M429" s="2"/>
    </row>
    <row r="430" customFormat="false" ht="15" hidden="false" customHeight="false" outlineLevel="0" collapsed="false">
      <c r="A430" s="2"/>
      <c r="B430" s="11"/>
      <c r="C430" s="2"/>
      <c r="D430" s="2"/>
      <c r="E430" s="2"/>
      <c r="F430" s="2"/>
      <c r="G430" s="2"/>
      <c r="H430" s="23"/>
      <c r="I430" s="23"/>
      <c r="J430" s="23" t="str">
        <f aca="false">IF(C430="","",IF(OR(C430="Purchase",C430="Fee",C430="Withdrawal"),-(H430+I430),H430-I430))</f>
        <v/>
      </c>
      <c r="K430" s="2"/>
      <c r="L430" s="2"/>
      <c r="M430" s="2"/>
    </row>
    <row r="431" customFormat="false" ht="15" hidden="false" customHeight="false" outlineLevel="0" collapsed="false">
      <c r="A431" s="2"/>
      <c r="B431" s="11"/>
      <c r="C431" s="2"/>
      <c r="D431" s="2"/>
      <c r="E431" s="2"/>
      <c r="F431" s="2"/>
      <c r="G431" s="2"/>
      <c r="H431" s="23"/>
      <c r="I431" s="23"/>
      <c r="J431" s="23" t="str">
        <f aca="false">IF(C431="","",IF(OR(C431="Purchase",C431="Fee",C431="Withdrawal"),-(H431+I431),H431-I431))</f>
        <v/>
      </c>
      <c r="K431" s="2"/>
      <c r="L431" s="2"/>
      <c r="M431" s="2"/>
    </row>
    <row r="432" customFormat="false" ht="15" hidden="false" customHeight="false" outlineLevel="0" collapsed="false">
      <c r="A432" s="2"/>
      <c r="B432" s="11"/>
      <c r="C432" s="2"/>
      <c r="D432" s="2"/>
      <c r="E432" s="2"/>
      <c r="F432" s="2"/>
      <c r="G432" s="2"/>
      <c r="H432" s="23"/>
      <c r="I432" s="23"/>
      <c r="J432" s="23" t="str">
        <f aca="false">IF(C432="","",IF(OR(C432="Purchase",C432="Fee",C432="Withdrawal"),-(H432+I432),H432-I432))</f>
        <v/>
      </c>
      <c r="K432" s="2"/>
      <c r="L432" s="2"/>
      <c r="M432" s="2"/>
    </row>
    <row r="433" customFormat="false" ht="15" hidden="false" customHeight="false" outlineLevel="0" collapsed="false">
      <c r="A433" s="2"/>
      <c r="B433" s="11"/>
      <c r="C433" s="2"/>
      <c r="D433" s="2"/>
      <c r="E433" s="2"/>
      <c r="F433" s="2"/>
      <c r="G433" s="2"/>
      <c r="H433" s="23"/>
      <c r="I433" s="23"/>
      <c r="J433" s="23" t="str">
        <f aca="false">IF(C433="","",IF(OR(C433="Purchase",C433="Fee",C433="Withdrawal"),-(H433+I433),H433-I433))</f>
        <v/>
      </c>
      <c r="K433" s="2"/>
      <c r="L433" s="2"/>
      <c r="M433" s="2"/>
    </row>
    <row r="434" customFormat="false" ht="15" hidden="false" customHeight="false" outlineLevel="0" collapsed="false">
      <c r="A434" s="2"/>
      <c r="B434" s="11"/>
      <c r="C434" s="2"/>
      <c r="D434" s="2"/>
      <c r="E434" s="2"/>
      <c r="F434" s="2"/>
      <c r="G434" s="2"/>
      <c r="H434" s="23"/>
      <c r="I434" s="23"/>
      <c r="J434" s="23" t="str">
        <f aca="false">IF(C434="","",IF(OR(C434="Purchase",C434="Fee",C434="Withdrawal"),-(H434+I434),H434-I434))</f>
        <v/>
      </c>
      <c r="K434" s="2"/>
      <c r="L434" s="2"/>
      <c r="M434" s="2"/>
    </row>
    <row r="435" customFormat="false" ht="15" hidden="false" customHeight="false" outlineLevel="0" collapsed="false">
      <c r="A435" s="2"/>
      <c r="B435" s="11"/>
      <c r="C435" s="2"/>
      <c r="D435" s="2"/>
      <c r="E435" s="2"/>
      <c r="F435" s="2"/>
      <c r="G435" s="2"/>
      <c r="H435" s="23"/>
      <c r="I435" s="23"/>
      <c r="J435" s="23" t="str">
        <f aca="false">IF(C435="","",IF(OR(C435="Purchase",C435="Fee",C435="Withdrawal"),-(H435+I435),H435-I435))</f>
        <v/>
      </c>
      <c r="K435" s="2"/>
      <c r="L435" s="2"/>
      <c r="M435" s="2"/>
    </row>
    <row r="436" customFormat="false" ht="15" hidden="false" customHeight="false" outlineLevel="0" collapsed="false">
      <c r="A436" s="2"/>
      <c r="B436" s="11"/>
      <c r="C436" s="2"/>
      <c r="D436" s="2"/>
      <c r="E436" s="2"/>
      <c r="F436" s="2"/>
      <c r="G436" s="2"/>
      <c r="H436" s="23"/>
      <c r="I436" s="23"/>
      <c r="J436" s="23" t="str">
        <f aca="false">IF(C436="","",IF(OR(C436="Purchase",C436="Fee",C436="Withdrawal"),-(H436+I436),H436-I436))</f>
        <v/>
      </c>
      <c r="K436" s="2"/>
      <c r="L436" s="2"/>
      <c r="M436" s="2"/>
    </row>
    <row r="437" customFormat="false" ht="15" hidden="false" customHeight="false" outlineLevel="0" collapsed="false">
      <c r="A437" s="2"/>
      <c r="B437" s="11"/>
      <c r="C437" s="2"/>
      <c r="D437" s="2"/>
      <c r="E437" s="2"/>
      <c r="F437" s="2"/>
      <c r="G437" s="2"/>
      <c r="H437" s="23"/>
      <c r="I437" s="23"/>
      <c r="J437" s="23" t="str">
        <f aca="false">IF(C437="","",IF(OR(C437="Purchase",C437="Fee",C437="Withdrawal"),-(H437+I437),H437-I437))</f>
        <v/>
      </c>
      <c r="K437" s="2"/>
      <c r="L437" s="2"/>
      <c r="M437" s="2"/>
    </row>
    <row r="438" customFormat="false" ht="15" hidden="false" customHeight="false" outlineLevel="0" collapsed="false">
      <c r="A438" s="2"/>
      <c r="B438" s="11"/>
      <c r="C438" s="2"/>
      <c r="D438" s="2"/>
      <c r="E438" s="2"/>
      <c r="F438" s="2"/>
      <c r="G438" s="2"/>
      <c r="H438" s="23"/>
      <c r="I438" s="23"/>
      <c r="J438" s="23" t="str">
        <f aca="false">IF(C438="","",IF(OR(C438="Purchase",C438="Fee",C438="Withdrawal"),-(H438+I438),H438-I438))</f>
        <v/>
      </c>
      <c r="K438" s="2"/>
      <c r="L438" s="2"/>
      <c r="M438" s="2"/>
    </row>
    <row r="439" customFormat="false" ht="15" hidden="false" customHeight="false" outlineLevel="0" collapsed="false">
      <c r="A439" s="2"/>
      <c r="B439" s="11"/>
      <c r="C439" s="2"/>
      <c r="D439" s="2"/>
      <c r="E439" s="2"/>
      <c r="F439" s="2"/>
      <c r="G439" s="2"/>
      <c r="H439" s="23"/>
      <c r="I439" s="23"/>
      <c r="J439" s="23" t="str">
        <f aca="false">IF(C439="","",IF(OR(C439="Purchase",C439="Fee",C439="Withdrawal"),-(H439+I439),H439-I439))</f>
        <v/>
      </c>
      <c r="K439" s="2"/>
      <c r="L439" s="2"/>
      <c r="M439" s="2"/>
    </row>
    <row r="440" customFormat="false" ht="15" hidden="false" customHeight="false" outlineLevel="0" collapsed="false">
      <c r="A440" s="2"/>
      <c r="B440" s="11"/>
      <c r="C440" s="2"/>
      <c r="D440" s="2"/>
      <c r="E440" s="2"/>
      <c r="F440" s="2"/>
      <c r="G440" s="2"/>
      <c r="H440" s="23"/>
      <c r="I440" s="23"/>
      <c r="J440" s="23" t="str">
        <f aca="false">IF(C440="","",IF(OR(C440="Purchase",C440="Fee",C440="Withdrawal"),-(H440+I440),H440-I440))</f>
        <v/>
      </c>
      <c r="K440" s="2"/>
      <c r="L440" s="2"/>
      <c r="M440" s="2"/>
    </row>
    <row r="441" customFormat="false" ht="15" hidden="false" customHeight="false" outlineLevel="0" collapsed="false">
      <c r="A441" s="2"/>
      <c r="B441" s="11"/>
      <c r="C441" s="2"/>
      <c r="D441" s="2"/>
      <c r="E441" s="2"/>
      <c r="F441" s="2"/>
      <c r="G441" s="2"/>
      <c r="H441" s="23"/>
      <c r="I441" s="23"/>
      <c r="J441" s="23" t="str">
        <f aca="false">IF(C441="","",IF(OR(C441="Purchase",C441="Fee",C441="Withdrawal"),-(H441+I441),H441-I441))</f>
        <v/>
      </c>
      <c r="K441" s="2"/>
      <c r="L441" s="2"/>
      <c r="M441" s="2"/>
    </row>
    <row r="442" customFormat="false" ht="15" hidden="false" customHeight="false" outlineLevel="0" collapsed="false">
      <c r="A442" s="2"/>
      <c r="B442" s="11"/>
      <c r="C442" s="2"/>
      <c r="D442" s="2"/>
      <c r="E442" s="2"/>
      <c r="F442" s="2"/>
      <c r="G442" s="2"/>
      <c r="H442" s="23"/>
      <c r="I442" s="23"/>
      <c r="J442" s="23" t="str">
        <f aca="false">IF(C442="","",IF(OR(C442="Purchase",C442="Fee",C442="Withdrawal"),-(H442+I442),H442-I442))</f>
        <v/>
      </c>
      <c r="K442" s="2"/>
      <c r="L442" s="2"/>
      <c r="M442" s="2"/>
    </row>
    <row r="443" customFormat="false" ht="15" hidden="false" customHeight="false" outlineLevel="0" collapsed="false">
      <c r="A443" s="2"/>
      <c r="B443" s="11"/>
      <c r="C443" s="2"/>
      <c r="D443" s="2"/>
      <c r="E443" s="2"/>
      <c r="F443" s="2"/>
      <c r="G443" s="2"/>
      <c r="H443" s="23"/>
      <c r="I443" s="23"/>
      <c r="J443" s="23" t="str">
        <f aca="false">IF(C443="","",IF(OR(C443="Purchase",C443="Fee",C443="Withdrawal"),-(H443+I443),H443-I443))</f>
        <v/>
      </c>
      <c r="K443" s="2"/>
      <c r="L443" s="2"/>
      <c r="M443" s="2"/>
    </row>
    <row r="444" customFormat="false" ht="15" hidden="false" customHeight="false" outlineLevel="0" collapsed="false">
      <c r="A444" s="2"/>
      <c r="B444" s="11"/>
      <c r="C444" s="2"/>
      <c r="D444" s="2"/>
      <c r="E444" s="2"/>
      <c r="F444" s="2"/>
      <c r="G444" s="2"/>
      <c r="H444" s="23"/>
      <c r="I444" s="23"/>
      <c r="J444" s="23" t="str">
        <f aca="false">IF(C444="","",IF(OR(C444="Purchase",C444="Fee",C444="Withdrawal"),-(H444+I444),H444-I444))</f>
        <v/>
      </c>
      <c r="K444" s="2"/>
      <c r="L444" s="2"/>
      <c r="M444" s="2"/>
    </row>
    <row r="445" customFormat="false" ht="15" hidden="false" customHeight="false" outlineLevel="0" collapsed="false">
      <c r="A445" s="2"/>
      <c r="B445" s="11"/>
      <c r="C445" s="2"/>
      <c r="D445" s="2"/>
      <c r="E445" s="2"/>
      <c r="F445" s="2"/>
      <c r="G445" s="2"/>
      <c r="H445" s="23"/>
      <c r="I445" s="23"/>
      <c r="J445" s="23" t="str">
        <f aca="false">IF(C445="","",IF(OR(C445="Purchase",C445="Fee",C445="Withdrawal"),-(H445+I445),H445-I445))</f>
        <v/>
      </c>
      <c r="K445" s="2"/>
      <c r="L445" s="2"/>
      <c r="M445" s="2"/>
    </row>
    <row r="446" customFormat="false" ht="15" hidden="false" customHeight="false" outlineLevel="0" collapsed="false">
      <c r="A446" s="2"/>
      <c r="B446" s="11"/>
      <c r="C446" s="2"/>
      <c r="D446" s="2"/>
      <c r="E446" s="2"/>
      <c r="F446" s="2"/>
      <c r="G446" s="2"/>
      <c r="H446" s="23"/>
      <c r="I446" s="23"/>
      <c r="J446" s="23" t="str">
        <f aca="false">IF(C446="","",IF(OR(C446="Purchase",C446="Fee",C446="Withdrawal"),-(H446+I446),H446-I446))</f>
        <v/>
      </c>
      <c r="K446" s="2"/>
      <c r="L446" s="2"/>
      <c r="M446" s="2"/>
    </row>
    <row r="447" customFormat="false" ht="15" hidden="false" customHeight="false" outlineLevel="0" collapsed="false">
      <c r="A447" s="2"/>
      <c r="B447" s="11"/>
      <c r="C447" s="2"/>
      <c r="D447" s="2"/>
      <c r="E447" s="2"/>
      <c r="F447" s="2"/>
      <c r="G447" s="2"/>
      <c r="H447" s="23"/>
      <c r="I447" s="23"/>
      <c r="J447" s="23" t="str">
        <f aca="false">IF(C447="","",IF(OR(C447="Purchase",C447="Fee",C447="Withdrawal"),-(H447+I447),H447-I447))</f>
        <v/>
      </c>
      <c r="K447" s="2"/>
      <c r="L447" s="2"/>
      <c r="M447" s="2"/>
    </row>
    <row r="448" customFormat="false" ht="15" hidden="false" customHeight="false" outlineLevel="0" collapsed="false">
      <c r="A448" s="2"/>
      <c r="B448" s="11"/>
      <c r="C448" s="2"/>
      <c r="D448" s="2"/>
      <c r="E448" s="2"/>
      <c r="F448" s="2"/>
      <c r="G448" s="2"/>
      <c r="H448" s="23"/>
      <c r="I448" s="23"/>
      <c r="J448" s="23" t="str">
        <f aca="false">IF(C448="","",IF(OR(C448="Purchase",C448="Fee",C448="Withdrawal"),-(H448+I448),H448-I448))</f>
        <v/>
      </c>
      <c r="K448" s="2"/>
      <c r="L448" s="2"/>
      <c r="M448" s="2"/>
    </row>
    <row r="449" customFormat="false" ht="15" hidden="false" customHeight="false" outlineLevel="0" collapsed="false">
      <c r="A449" s="2"/>
      <c r="B449" s="11"/>
      <c r="C449" s="2"/>
      <c r="D449" s="2"/>
      <c r="E449" s="2"/>
      <c r="F449" s="2"/>
      <c r="G449" s="2"/>
      <c r="H449" s="23"/>
      <c r="I449" s="23"/>
      <c r="J449" s="23" t="str">
        <f aca="false">IF(C449="","",IF(OR(C449="Purchase",C449="Fee",C449="Withdrawal"),-(H449+I449),H449-I449))</f>
        <v/>
      </c>
      <c r="K449" s="2"/>
      <c r="L449" s="2"/>
      <c r="M449" s="2"/>
    </row>
    <row r="450" customFormat="false" ht="15" hidden="false" customHeight="false" outlineLevel="0" collapsed="false">
      <c r="A450" s="2"/>
      <c r="B450" s="11"/>
      <c r="C450" s="2"/>
      <c r="D450" s="2"/>
      <c r="E450" s="2"/>
      <c r="F450" s="2"/>
      <c r="G450" s="2"/>
      <c r="H450" s="23"/>
      <c r="I450" s="23"/>
      <c r="J450" s="23" t="str">
        <f aca="false">IF(C450="","",IF(OR(C450="Purchase",C450="Fee",C450="Withdrawal"),-(H450+I450),H450-I450))</f>
        <v/>
      </c>
      <c r="K450" s="2"/>
      <c r="L450" s="2"/>
      <c r="M450" s="2"/>
    </row>
    <row r="451" customFormat="false" ht="15" hidden="false" customHeight="false" outlineLevel="0" collapsed="false">
      <c r="A451" s="2"/>
      <c r="B451" s="11"/>
      <c r="C451" s="2"/>
      <c r="D451" s="2"/>
      <c r="E451" s="2"/>
      <c r="F451" s="2"/>
      <c r="G451" s="2"/>
      <c r="H451" s="23"/>
      <c r="I451" s="23"/>
      <c r="J451" s="23" t="str">
        <f aca="false">IF(C451="","",IF(OR(C451="Purchase",C451="Fee",C451="Withdrawal"),-(H451+I451),H451-I451))</f>
        <v/>
      </c>
      <c r="K451" s="2"/>
      <c r="L451" s="2"/>
      <c r="M451" s="2"/>
    </row>
    <row r="452" customFormat="false" ht="15" hidden="false" customHeight="false" outlineLevel="0" collapsed="false">
      <c r="A452" s="2"/>
      <c r="B452" s="11"/>
      <c r="C452" s="2"/>
      <c r="D452" s="2"/>
      <c r="E452" s="2"/>
      <c r="F452" s="2"/>
      <c r="G452" s="2"/>
      <c r="H452" s="23"/>
      <c r="I452" s="23"/>
      <c r="J452" s="23" t="str">
        <f aca="false">IF(C452="","",IF(OR(C452="Purchase",C452="Fee",C452="Withdrawal"),-(H452+I452),H452-I452))</f>
        <v/>
      </c>
      <c r="K452" s="2"/>
      <c r="L452" s="2"/>
      <c r="M452" s="2"/>
    </row>
    <row r="453" customFormat="false" ht="15" hidden="false" customHeight="false" outlineLevel="0" collapsed="false">
      <c r="A453" s="2"/>
      <c r="B453" s="11"/>
      <c r="C453" s="2"/>
      <c r="D453" s="2"/>
      <c r="E453" s="2"/>
      <c r="F453" s="2"/>
      <c r="G453" s="2"/>
      <c r="H453" s="23"/>
      <c r="I453" s="23"/>
      <c r="J453" s="23" t="str">
        <f aca="false">IF(C453="","",IF(OR(C453="Purchase",C453="Fee",C453="Withdrawal"),-(H453+I453),H453-I453))</f>
        <v/>
      </c>
      <c r="K453" s="2"/>
      <c r="L453" s="2"/>
      <c r="M453" s="2"/>
    </row>
    <row r="454" customFormat="false" ht="15" hidden="false" customHeight="false" outlineLevel="0" collapsed="false">
      <c r="A454" s="2"/>
      <c r="B454" s="11"/>
      <c r="C454" s="2"/>
      <c r="D454" s="2"/>
      <c r="E454" s="2"/>
      <c r="F454" s="2"/>
      <c r="G454" s="2"/>
      <c r="H454" s="23"/>
      <c r="I454" s="23"/>
      <c r="J454" s="23" t="str">
        <f aca="false">IF(C454="","",IF(OR(C454="Purchase",C454="Fee",C454="Withdrawal"),-(H454+I454),H454-I454))</f>
        <v/>
      </c>
      <c r="K454" s="2"/>
      <c r="L454" s="2"/>
      <c r="M454" s="2"/>
    </row>
    <row r="455" customFormat="false" ht="15" hidden="false" customHeight="false" outlineLevel="0" collapsed="false">
      <c r="A455" s="2"/>
      <c r="B455" s="11"/>
      <c r="C455" s="2"/>
      <c r="D455" s="2"/>
      <c r="E455" s="2"/>
      <c r="F455" s="2"/>
      <c r="G455" s="2"/>
      <c r="H455" s="23"/>
      <c r="I455" s="23"/>
      <c r="J455" s="23" t="str">
        <f aca="false">IF(C455="","",IF(OR(C455="Purchase",C455="Fee",C455="Withdrawal"),-(H455+I455),H455-I455))</f>
        <v/>
      </c>
      <c r="K455" s="2"/>
      <c r="L455" s="2"/>
      <c r="M455" s="2"/>
    </row>
    <row r="456" customFormat="false" ht="15" hidden="false" customHeight="false" outlineLevel="0" collapsed="false">
      <c r="A456" s="2"/>
      <c r="B456" s="11"/>
      <c r="C456" s="2"/>
      <c r="D456" s="2"/>
      <c r="E456" s="2"/>
      <c r="F456" s="2"/>
      <c r="G456" s="2"/>
      <c r="H456" s="23"/>
      <c r="I456" s="23"/>
      <c r="J456" s="23" t="str">
        <f aca="false">IF(C456="","",IF(OR(C456="Purchase",C456="Fee",C456="Withdrawal"),-(H456+I456),H456-I456))</f>
        <v/>
      </c>
      <c r="K456" s="2"/>
      <c r="L456" s="2"/>
      <c r="M456" s="2"/>
    </row>
    <row r="457" customFormat="false" ht="15" hidden="false" customHeight="false" outlineLevel="0" collapsed="false">
      <c r="A457" s="2"/>
      <c r="B457" s="11"/>
      <c r="C457" s="2"/>
      <c r="D457" s="2"/>
      <c r="E457" s="2"/>
      <c r="F457" s="2"/>
      <c r="G457" s="2"/>
      <c r="H457" s="23"/>
      <c r="I457" s="23"/>
      <c r="J457" s="23" t="str">
        <f aca="false">IF(C457="","",IF(OR(C457="Purchase",C457="Fee",C457="Withdrawal"),-(H457+I457),H457-I457))</f>
        <v/>
      </c>
      <c r="K457" s="2"/>
      <c r="L457" s="2"/>
      <c r="M457" s="2"/>
    </row>
    <row r="458" customFormat="false" ht="15" hidden="false" customHeight="false" outlineLevel="0" collapsed="false">
      <c r="A458" s="2"/>
      <c r="B458" s="11"/>
      <c r="C458" s="2"/>
      <c r="D458" s="2"/>
      <c r="E458" s="2"/>
      <c r="F458" s="2"/>
      <c r="G458" s="2"/>
      <c r="H458" s="23"/>
      <c r="I458" s="23"/>
      <c r="J458" s="23" t="str">
        <f aca="false">IF(C458="","",IF(OR(C458="Purchase",C458="Fee",C458="Withdrawal"),-(H458+I458),H458-I458))</f>
        <v/>
      </c>
      <c r="K458" s="2"/>
      <c r="L458" s="2"/>
      <c r="M458" s="2"/>
    </row>
    <row r="459" customFormat="false" ht="15" hidden="false" customHeight="false" outlineLevel="0" collapsed="false">
      <c r="A459" s="2"/>
      <c r="B459" s="11"/>
      <c r="C459" s="2"/>
      <c r="D459" s="2"/>
      <c r="E459" s="2"/>
      <c r="F459" s="2"/>
      <c r="G459" s="2"/>
      <c r="H459" s="23"/>
      <c r="I459" s="23"/>
      <c r="J459" s="23" t="str">
        <f aca="false">IF(C459="","",IF(OR(C459="Purchase",C459="Fee",C459="Withdrawal"),-(H459+I459),H459-I459))</f>
        <v/>
      </c>
      <c r="K459" s="2"/>
      <c r="L459" s="2"/>
      <c r="M459" s="2"/>
    </row>
    <row r="460" customFormat="false" ht="15" hidden="false" customHeight="false" outlineLevel="0" collapsed="false">
      <c r="A460" s="2"/>
      <c r="B460" s="11"/>
      <c r="C460" s="2"/>
      <c r="D460" s="2"/>
      <c r="E460" s="2"/>
      <c r="F460" s="2"/>
      <c r="G460" s="2"/>
      <c r="H460" s="23"/>
      <c r="I460" s="23"/>
      <c r="J460" s="23" t="str">
        <f aca="false">IF(C460="","",IF(OR(C460="Purchase",C460="Fee",C460="Withdrawal"),-(H460+I460),H460-I460))</f>
        <v/>
      </c>
      <c r="K460" s="2"/>
      <c r="L460" s="2"/>
      <c r="M460" s="2"/>
    </row>
    <row r="461" customFormat="false" ht="15" hidden="false" customHeight="false" outlineLevel="0" collapsed="false">
      <c r="A461" s="2"/>
      <c r="B461" s="11"/>
      <c r="C461" s="2"/>
      <c r="D461" s="2"/>
      <c r="E461" s="2"/>
      <c r="F461" s="2"/>
      <c r="G461" s="2"/>
      <c r="H461" s="23"/>
      <c r="I461" s="23"/>
      <c r="J461" s="23" t="str">
        <f aca="false">IF(C461="","",IF(OR(C461="Purchase",C461="Fee",C461="Withdrawal"),-(H461+I461),H461-I461))</f>
        <v/>
      </c>
      <c r="K461" s="2"/>
      <c r="L461" s="2"/>
      <c r="M461" s="2"/>
    </row>
    <row r="462" customFormat="false" ht="15" hidden="false" customHeight="false" outlineLevel="0" collapsed="false">
      <c r="A462" s="2"/>
      <c r="B462" s="11"/>
      <c r="C462" s="2"/>
      <c r="D462" s="2"/>
      <c r="E462" s="2"/>
      <c r="F462" s="2"/>
      <c r="G462" s="2"/>
      <c r="H462" s="23"/>
      <c r="I462" s="23"/>
      <c r="J462" s="23" t="str">
        <f aca="false">IF(C462="","",IF(OR(C462="Purchase",C462="Fee",C462="Withdrawal"),-(H462+I462),H462-I462))</f>
        <v/>
      </c>
      <c r="K462" s="2"/>
      <c r="L462" s="2"/>
      <c r="M462" s="2"/>
    </row>
    <row r="463" customFormat="false" ht="15" hidden="false" customHeight="false" outlineLevel="0" collapsed="false">
      <c r="A463" s="2"/>
      <c r="B463" s="11"/>
      <c r="C463" s="2"/>
      <c r="D463" s="2"/>
      <c r="E463" s="2"/>
      <c r="F463" s="2"/>
      <c r="G463" s="2"/>
      <c r="H463" s="23"/>
      <c r="I463" s="23"/>
      <c r="J463" s="23" t="str">
        <f aca="false">IF(C463="","",IF(OR(C463="Purchase",C463="Fee",C463="Withdrawal"),-(H463+I463),H463-I463))</f>
        <v/>
      </c>
      <c r="K463" s="2"/>
      <c r="L463" s="2"/>
      <c r="M463" s="2"/>
    </row>
    <row r="464" customFormat="false" ht="15" hidden="false" customHeight="false" outlineLevel="0" collapsed="false">
      <c r="A464" s="2"/>
      <c r="B464" s="11"/>
      <c r="C464" s="2"/>
      <c r="D464" s="2"/>
      <c r="E464" s="2"/>
      <c r="F464" s="2"/>
      <c r="G464" s="2"/>
      <c r="H464" s="23"/>
      <c r="I464" s="23"/>
      <c r="J464" s="23" t="str">
        <f aca="false">IF(C464="","",IF(OR(C464="Purchase",C464="Fee",C464="Withdrawal"),-(H464+I464),H464-I464))</f>
        <v/>
      </c>
      <c r="K464" s="2"/>
      <c r="L464" s="2"/>
      <c r="M464" s="2"/>
    </row>
    <row r="465" customFormat="false" ht="15" hidden="false" customHeight="false" outlineLevel="0" collapsed="false">
      <c r="A465" s="2"/>
      <c r="B465" s="11"/>
      <c r="C465" s="2"/>
      <c r="D465" s="2"/>
      <c r="E465" s="2"/>
      <c r="F465" s="2"/>
      <c r="G465" s="2"/>
      <c r="H465" s="23"/>
      <c r="I465" s="23"/>
      <c r="J465" s="23" t="str">
        <f aca="false">IF(C465="","",IF(OR(C465="Purchase",C465="Fee",C465="Withdrawal"),-(H465+I465),H465-I465))</f>
        <v/>
      </c>
      <c r="K465" s="2"/>
      <c r="L465" s="2"/>
      <c r="M465" s="2"/>
    </row>
    <row r="466" customFormat="false" ht="15" hidden="false" customHeight="false" outlineLevel="0" collapsed="false">
      <c r="A466" s="2"/>
      <c r="B466" s="11"/>
      <c r="C466" s="2"/>
      <c r="D466" s="2"/>
      <c r="E466" s="2"/>
      <c r="F466" s="2"/>
      <c r="G466" s="2"/>
      <c r="H466" s="23"/>
      <c r="I466" s="23"/>
      <c r="J466" s="23" t="str">
        <f aca="false">IF(C466="","",IF(OR(C466="Purchase",C466="Fee",C466="Withdrawal"),-(H466+I466),H466-I466))</f>
        <v/>
      </c>
      <c r="K466" s="2"/>
      <c r="L466" s="2"/>
      <c r="M466" s="2"/>
    </row>
    <row r="467" customFormat="false" ht="15" hidden="false" customHeight="false" outlineLevel="0" collapsed="false">
      <c r="A467" s="2"/>
      <c r="B467" s="11"/>
      <c r="C467" s="2"/>
      <c r="D467" s="2"/>
      <c r="E467" s="2"/>
      <c r="F467" s="2"/>
      <c r="G467" s="2"/>
      <c r="H467" s="23"/>
      <c r="I467" s="23"/>
      <c r="J467" s="23" t="str">
        <f aca="false">IF(C467="","",IF(OR(C467="Purchase",C467="Fee",C467="Withdrawal"),-(H467+I467),H467-I467))</f>
        <v/>
      </c>
      <c r="K467" s="2"/>
      <c r="L467" s="2"/>
      <c r="M467" s="2"/>
    </row>
    <row r="468" customFormat="false" ht="15" hidden="false" customHeight="false" outlineLevel="0" collapsed="false">
      <c r="A468" s="2"/>
      <c r="B468" s="11"/>
      <c r="C468" s="2"/>
      <c r="D468" s="2"/>
      <c r="E468" s="2"/>
      <c r="F468" s="2"/>
      <c r="G468" s="2"/>
      <c r="H468" s="23"/>
      <c r="I468" s="23"/>
      <c r="J468" s="23" t="str">
        <f aca="false">IF(C468="","",IF(OR(C468="Purchase",C468="Fee",C468="Withdrawal"),-(H468+I468),H468-I468))</f>
        <v/>
      </c>
      <c r="K468" s="2"/>
      <c r="L468" s="2"/>
      <c r="M468" s="2"/>
    </row>
    <row r="469" customFormat="false" ht="15" hidden="false" customHeight="false" outlineLevel="0" collapsed="false">
      <c r="A469" s="2"/>
      <c r="B469" s="11"/>
      <c r="C469" s="2"/>
      <c r="D469" s="2"/>
      <c r="E469" s="2"/>
      <c r="F469" s="2"/>
      <c r="G469" s="2"/>
      <c r="H469" s="23"/>
      <c r="I469" s="23"/>
      <c r="J469" s="23" t="str">
        <f aca="false">IF(C469="","",IF(OR(C469="Purchase",C469="Fee",C469="Withdrawal"),-(H469+I469),H469-I469))</f>
        <v/>
      </c>
      <c r="K469" s="2"/>
      <c r="L469" s="2"/>
      <c r="M469" s="2"/>
    </row>
    <row r="470" customFormat="false" ht="15" hidden="false" customHeight="false" outlineLevel="0" collapsed="false">
      <c r="A470" s="2"/>
      <c r="B470" s="11"/>
      <c r="C470" s="2"/>
      <c r="D470" s="2"/>
      <c r="E470" s="2"/>
      <c r="F470" s="2"/>
      <c r="G470" s="2"/>
      <c r="H470" s="23"/>
      <c r="I470" s="23"/>
      <c r="J470" s="23" t="str">
        <f aca="false">IF(C470="","",IF(OR(C470="Purchase",C470="Fee",C470="Withdrawal"),-(H470+I470),H470-I470))</f>
        <v/>
      </c>
      <c r="K470" s="2"/>
      <c r="L470" s="2"/>
      <c r="M470" s="2"/>
    </row>
    <row r="471" customFormat="false" ht="15" hidden="false" customHeight="false" outlineLevel="0" collapsed="false">
      <c r="A471" s="2"/>
      <c r="B471" s="11"/>
      <c r="C471" s="2"/>
      <c r="D471" s="2"/>
      <c r="E471" s="2"/>
      <c r="F471" s="2"/>
      <c r="G471" s="2"/>
      <c r="H471" s="23"/>
      <c r="I471" s="23"/>
      <c r="J471" s="23" t="str">
        <f aca="false">IF(C471="","",IF(OR(C471="Purchase",C471="Fee",C471="Withdrawal"),-(H471+I471),H471-I471))</f>
        <v/>
      </c>
      <c r="K471" s="2"/>
      <c r="L471" s="2"/>
      <c r="M471" s="2"/>
    </row>
    <row r="472" customFormat="false" ht="15" hidden="false" customHeight="false" outlineLevel="0" collapsed="false">
      <c r="A472" s="2"/>
      <c r="B472" s="11"/>
      <c r="C472" s="2"/>
      <c r="D472" s="2"/>
      <c r="E472" s="2"/>
      <c r="F472" s="2"/>
      <c r="G472" s="2"/>
      <c r="H472" s="23"/>
      <c r="I472" s="23"/>
      <c r="J472" s="23" t="str">
        <f aca="false">IF(C472="","",IF(OR(C472="Purchase",C472="Fee",C472="Withdrawal"),-(H472+I472),H472-I472))</f>
        <v/>
      </c>
      <c r="K472" s="2"/>
      <c r="L472" s="2"/>
      <c r="M472" s="2"/>
    </row>
    <row r="473" customFormat="false" ht="15" hidden="false" customHeight="false" outlineLevel="0" collapsed="false">
      <c r="A473" s="2"/>
      <c r="B473" s="11"/>
      <c r="C473" s="2"/>
      <c r="D473" s="2"/>
      <c r="E473" s="2"/>
      <c r="F473" s="2"/>
      <c r="G473" s="2"/>
      <c r="H473" s="23"/>
      <c r="I473" s="23"/>
      <c r="J473" s="23" t="str">
        <f aca="false">IF(C473="","",IF(OR(C473="Purchase",C473="Fee",C473="Withdrawal"),-(H473+I473),H473-I473))</f>
        <v/>
      </c>
      <c r="K473" s="2"/>
      <c r="L473" s="2"/>
      <c r="M473" s="2"/>
    </row>
    <row r="474" customFormat="false" ht="15" hidden="false" customHeight="false" outlineLevel="0" collapsed="false">
      <c r="A474" s="2"/>
      <c r="B474" s="11"/>
      <c r="C474" s="2"/>
      <c r="D474" s="2"/>
      <c r="E474" s="2"/>
      <c r="F474" s="2"/>
      <c r="G474" s="2"/>
      <c r="H474" s="23"/>
      <c r="I474" s="23"/>
      <c r="J474" s="23" t="str">
        <f aca="false">IF(C474="","",IF(OR(C474="Purchase",C474="Fee",C474="Withdrawal"),-(H474+I474),H474-I474))</f>
        <v/>
      </c>
      <c r="K474" s="2"/>
      <c r="L474" s="2"/>
      <c r="M474" s="2"/>
    </row>
    <row r="475" customFormat="false" ht="15" hidden="false" customHeight="false" outlineLevel="0" collapsed="false">
      <c r="A475" s="2"/>
      <c r="B475" s="11"/>
      <c r="C475" s="2"/>
      <c r="D475" s="2"/>
      <c r="E475" s="2"/>
      <c r="F475" s="2"/>
      <c r="G475" s="2"/>
      <c r="H475" s="23"/>
      <c r="I475" s="23"/>
      <c r="J475" s="23" t="str">
        <f aca="false">IF(C475="","",IF(OR(C475="Purchase",C475="Fee",C475="Withdrawal"),-(H475+I475),H475-I475))</f>
        <v/>
      </c>
      <c r="K475" s="2"/>
      <c r="L475" s="2"/>
      <c r="M475" s="2"/>
    </row>
    <row r="476" customFormat="false" ht="15" hidden="false" customHeight="false" outlineLevel="0" collapsed="false">
      <c r="A476" s="2"/>
      <c r="B476" s="11"/>
      <c r="C476" s="2"/>
      <c r="D476" s="2"/>
      <c r="E476" s="2"/>
      <c r="F476" s="2"/>
      <c r="G476" s="2"/>
      <c r="H476" s="23"/>
      <c r="I476" s="23"/>
      <c r="J476" s="23" t="str">
        <f aca="false">IF(C476="","",IF(OR(C476="Purchase",C476="Fee",C476="Withdrawal"),-(H476+I476),H476-I476))</f>
        <v/>
      </c>
      <c r="K476" s="2"/>
      <c r="L476" s="2"/>
      <c r="M476" s="2"/>
    </row>
    <row r="477" customFormat="false" ht="15" hidden="false" customHeight="false" outlineLevel="0" collapsed="false">
      <c r="A477" s="2"/>
      <c r="B477" s="11"/>
      <c r="C477" s="2"/>
      <c r="D477" s="2"/>
      <c r="E477" s="2"/>
      <c r="F477" s="2"/>
      <c r="G477" s="2"/>
      <c r="H477" s="23"/>
      <c r="I477" s="23"/>
      <c r="J477" s="23" t="str">
        <f aca="false">IF(C477="","",IF(OR(C477="Purchase",C477="Fee",C477="Withdrawal"),-(H477+I477),H477-I477))</f>
        <v/>
      </c>
      <c r="K477" s="2"/>
      <c r="L477" s="2"/>
      <c r="M477" s="2"/>
    </row>
    <row r="478" customFormat="false" ht="15" hidden="false" customHeight="false" outlineLevel="0" collapsed="false">
      <c r="A478" s="2"/>
      <c r="B478" s="11"/>
      <c r="C478" s="2"/>
      <c r="D478" s="2"/>
      <c r="E478" s="2"/>
      <c r="F478" s="2"/>
      <c r="G478" s="2"/>
      <c r="H478" s="23"/>
      <c r="I478" s="23"/>
      <c r="J478" s="23" t="str">
        <f aca="false">IF(C478="","",IF(OR(C478="Purchase",C478="Fee",C478="Withdrawal"),-(H478+I478),H478-I478))</f>
        <v/>
      </c>
      <c r="K478" s="2"/>
      <c r="L478" s="2"/>
      <c r="M478" s="2"/>
    </row>
    <row r="479" customFormat="false" ht="15" hidden="false" customHeight="false" outlineLevel="0" collapsed="false">
      <c r="A479" s="2"/>
      <c r="B479" s="11"/>
      <c r="C479" s="2"/>
      <c r="D479" s="2"/>
      <c r="E479" s="2"/>
      <c r="F479" s="2"/>
      <c r="G479" s="2"/>
      <c r="H479" s="23"/>
      <c r="I479" s="23"/>
      <c r="J479" s="23" t="str">
        <f aca="false">IF(C479="","",IF(OR(C479="Purchase",C479="Fee",C479="Withdrawal"),-(H479+I479),H479-I479))</f>
        <v/>
      </c>
      <c r="K479" s="2"/>
      <c r="L479" s="2"/>
      <c r="M479" s="2"/>
    </row>
    <row r="480" customFormat="false" ht="15" hidden="false" customHeight="false" outlineLevel="0" collapsed="false">
      <c r="A480" s="2"/>
      <c r="B480" s="11"/>
      <c r="C480" s="2"/>
      <c r="D480" s="2"/>
      <c r="E480" s="2"/>
      <c r="F480" s="2"/>
      <c r="G480" s="2"/>
      <c r="H480" s="23"/>
      <c r="I480" s="23"/>
      <c r="J480" s="23" t="str">
        <f aca="false">IF(C480="","",IF(OR(C480="Purchase",C480="Fee",C480="Withdrawal"),-(H480+I480),H480-I480))</f>
        <v/>
      </c>
      <c r="K480" s="2"/>
      <c r="L480" s="2"/>
      <c r="M480" s="2"/>
    </row>
    <row r="481" customFormat="false" ht="15" hidden="false" customHeight="false" outlineLevel="0" collapsed="false">
      <c r="A481" s="2"/>
      <c r="B481" s="11"/>
      <c r="C481" s="2"/>
      <c r="D481" s="2"/>
      <c r="E481" s="2"/>
      <c r="F481" s="2"/>
      <c r="G481" s="2"/>
      <c r="H481" s="23"/>
      <c r="I481" s="23"/>
      <c r="J481" s="23" t="str">
        <f aca="false">IF(C481="","",IF(OR(C481="Purchase",C481="Fee",C481="Withdrawal"),-(H481+I481),H481-I481))</f>
        <v/>
      </c>
      <c r="K481" s="2"/>
      <c r="L481" s="2"/>
      <c r="M481" s="2"/>
    </row>
    <row r="482" customFormat="false" ht="15" hidden="false" customHeight="false" outlineLevel="0" collapsed="false">
      <c r="A482" s="2"/>
      <c r="B482" s="11"/>
      <c r="C482" s="2"/>
      <c r="D482" s="2"/>
      <c r="E482" s="2"/>
      <c r="F482" s="2"/>
      <c r="G482" s="2"/>
      <c r="H482" s="23"/>
      <c r="I482" s="23"/>
      <c r="J482" s="23" t="str">
        <f aca="false">IF(C482="","",IF(OR(C482="Purchase",C482="Fee",C482="Withdrawal"),-(H482+I482),H482-I482))</f>
        <v/>
      </c>
      <c r="K482" s="2"/>
      <c r="L482" s="2"/>
      <c r="M482" s="2"/>
    </row>
    <row r="483" customFormat="false" ht="15" hidden="false" customHeight="false" outlineLevel="0" collapsed="false">
      <c r="A483" s="2"/>
      <c r="B483" s="11"/>
      <c r="C483" s="2"/>
      <c r="D483" s="2"/>
      <c r="E483" s="2"/>
      <c r="F483" s="2"/>
      <c r="G483" s="2"/>
      <c r="H483" s="23"/>
      <c r="I483" s="23"/>
      <c r="J483" s="23" t="str">
        <f aca="false">IF(C483="","",IF(OR(C483="Purchase",C483="Fee",C483="Withdrawal"),-(H483+I483),H483-I483))</f>
        <v/>
      </c>
      <c r="K483" s="2"/>
      <c r="L483" s="2"/>
      <c r="M483" s="2"/>
    </row>
    <row r="484" customFormat="false" ht="15" hidden="false" customHeight="false" outlineLevel="0" collapsed="false">
      <c r="A484" s="2"/>
      <c r="B484" s="11"/>
      <c r="C484" s="2"/>
      <c r="D484" s="2"/>
      <c r="E484" s="2"/>
      <c r="F484" s="2"/>
      <c r="G484" s="2"/>
      <c r="H484" s="23"/>
      <c r="I484" s="23"/>
      <c r="J484" s="23" t="str">
        <f aca="false">IF(C484="","",IF(OR(C484="Purchase",C484="Fee",C484="Withdrawal"),-(H484+I484),H484-I484))</f>
        <v/>
      </c>
      <c r="K484" s="2"/>
      <c r="L484" s="2"/>
      <c r="M484" s="2"/>
    </row>
    <row r="485" customFormat="false" ht="15" hidden="false" customHeight="false" outlineLevel="0" collapsed="false">
      <c r="A485" s="2"/>
      <c r="B485" s="11"/>
      <c r="C485" s="2"/>
      <c r="D485" s="2"/>
      <c r="E485" s="2"/>
      <c r="F485" s="2"/>
      <c r="G485" s="2"/>
      <c r="H485" s="23"/>
      <c r="I485" s="23"/>
      <c r="J485" s="23" t="str">
        <f aca="false">IF(C485="","",IF(OR(C485="Purchase",C485="Fee",C485="Withdrawal"),-(H485+I485),H485-I485))</f>
        <v/>
      </c>
      <c r="K485" s="2"/>
      <c r="L485" s="2"/>
      <c r="M485" s="2"/>
    </row>
    <row r="486" customFormat="false" ht="15" hidden="false" customHeight="false" outlineLevel="0" collapsed="false">
      <c r="A486" s="2"/>
      <c r="B486" s="11"/>
      <c r="C486" s="2"/>
      <c r="D486" s="2"/>
      <c r="E486" s="2"/>
      <c r="F486" s="2"/>
      <c r="G486" s="2"/>
      <c r="H486" s="23"/>
      <c r="I486" s="23"/>
      <c r="J486" s="23" t="str">
        <f aca="false">IF(C486="","",IF(OR(C486="Purchase",C486="Fee",C486="Withdrawal"),-(H486+I486),H486-I486))</f>
        <v/>
      </c>
      <c r="K486" s="2"/>
      <c r="L486" s="2"/>
      <c r="M486" s="2"/>
    </row>
    <row r="487" customFormat="false" ht="15" hidden="false" customHeight="false" outlineLevel="0" collapsed="false">
      <c r="A487" s="2"/>
      <c r="B487" s="11"/>
      <c r="C487" s="2"/>
      <c r="D487" s="2"/>
      <c r="E487" s="2"/>
      <c r="F487" s="2"/>
      <c r="G487" s="2"/>
      <c r="H487" s="23"/>
      <c r="I487" s="23"/>
      <c r="J487" s="23" t="str">
        <f aca="false">IF(C487="","",IF(OR(C487="Purchase",C487="Fee",C487="Withdrawal"),-(H487+I487),H487-I487))</f>
        <v/>
      </c>
      <c r="K487" s="2"/>
      <c r="L487" s="2"/>
      <c r="M487" s="2"/>
    </row>
    <row r="488" customFormat="false" ht="15" hidden="false" customHeight="false" outlineLevel="0" collapsed="false">
      <c r="A488" s="2"/>
      <c r="B488" s="11"/>
      <c r="C488" s="2"/>
      <c r="D488" s="2"/>
      <c r="E488" s="2"/>
      <c r="F488" s="2"/>
      <c r="G488" s="2"/>
      <c r="H488" s="23"/>
      <c r="I488" s="23"/>
      <c r="J488" s="23" t="str">
        <f aca="false">IF(C488="","",IF(OR(C488="Purchase",C488="Fee",C488="Withdrawal"),-(H488+I488),H488-I488))</f>
        <v/>
      </c>
      <c r="K488" s="2"/>
      <c r="L488" s="2"/>
      <c r="M488" s="2"/>
    </row>
    <row r="489" customFormat="false" ht="15" hidden="false" customHeight="false" outlineLevel="0" collapsed="false">
      <c r="A489" s="2"/>
      <c r="B489" s="11"/>
      <c r="C489" s="2"/>
      <c r="D489" s="2"/>
      <c r="E489" s="2"/>
      <c r="F489" s="2"/>
      <c r="G489" s="2"/>
      <c r="H489" s="23"/>
      <c r="I489" s="23"/>
      <c r="J489" s="23" t="str">
        <f aca="false">IF(C489="","",IF(OR(C489="Purchase",C489="Fee",C489="Withdrawal"),-(H489+I489),H489-I489))</f>
        <v/>
      </c>
      <c r="K489" s="2"/>
      <c r="L489" s="2"/>
      <c r="M489" s="2"/>
    </row>
    <row r="490" customFormat="false" ht="15" hidden="false" customHeight="false" outlineLevel="0" collapsed="false">
      <c r="A490" s="2"/>
      <c r="B490" s="11"/>
      <c r="C490" s="2"/>
      <c r="D490" s="2"/>
      <c r="E490" s="2"/>
      <c r="F490" s="2"/>
      <c r="G490" s="2"/>
      <c r="H490" s="23"/>
      <c r="I490" s="23"/>
      <c r="J490" s="23" t="str">
        <f aca="false">IF(C490="","",IF(OR(C490="Purchase",C490="Fee",C490="Withdrawal"),-(H490+I490),H490-I490))</f>
        <v/>
      </c>
      <c r="K490" s="2"/>
      <c r="L490" s="2"/>
      <c r="M490" s="2"/>
    </row>
    <row r="491" customFormat="false" ht="15" hidden="false" customHeight="false" outlineLevel="0" collapsed="false">
      <c r="A491" s="2"/>
      <c r="B491" s="11"/>
      <c r="C491" s="2"/>
      <c r="D491" s="2"/>
      <c r="E491" s="2"/>
      <c r="F491" s="2"/>
      <c r="G491" s="2"/>
      <c r="H491" s="23"/>
      <c r="I491" s="23"/>
      <c r="J491" s="23" t="str">
        <f aca="false">IF(C491="","",IF(OR(C491="Purchase",C491="Fee",C491="Withdrawal"),-(H491+I491),H491-I491))</f>
        <v/>
      </c>
      <c r="K491" s="2"/>
      <c r="L491" s="2"/>
      <c r="M491" s="2"/>
    </row>
    <row r="492" customFormat="false" ht="15" hidden="false" customHeight="false" outlineLevel="0" collapsed="false">
      <c r="A492" s="2"/>
      <c r="B492" s="11"/>
      <c r="C492" s="2"/>
      <c r="D492" s="2"/>
      <c r="E492" s="2"/>
      <c r="F492" s="2"/>
      <c r="G492" s="2"/>
      <c r="H492" s="23"/>
      <c r="I492" s="23"/>
      <c r="J492" s="23" t="str">
        <f aca="false">IF(C492="","",IF(OR(C492="Purchase",C492="Fee",C492="Withdrawal"),-(H492+I492),H492-I492))</f>
        <v/>
      </c>
      <c r="K492" s="2"/>
      <c r="L492" s="2"/>
      <c r="M492" s="2"/>
    </row>
    <row r="493" customFormat="false" ht="15" hidden="false" customHeight="false" outlineLevel="0" collapsed="false">
      <c r="A493" s="2"/>
      <c r="B493" s="11"/>
      <c r="C493" s="2"/>
      <c r="D493" s="2"/>
      <c r="E493" s="2"/>
      <c r="F493" s="2"/>
      <c r="G493" s="2"/>
      <c r="H493" s="23"/>
      <c r="I493" s="23"/>
      <c r="J493" s="23" t="str">
        <f aca="false">IF(C493="","",IF(OR(C493="Purchase",C493="Fee",C493="Withdrawal"),-(H493+I493),H493-I493))</f>
        <v/>
      </c>
      <c r="K493" s="2"/>
      <c r="L493" s="2"/>
      <c r="M493" s="2"/>
    </row>
    <row r="494" customFormat="false" ht="15" hidden="false" customHeight="false" outlineLevel="0" collapsed="false">
      <c r="A494" s="2"/>
      <c r="B494" s="11"/>
      <c r="C494" s="2"/>
      <c r="D494" s="2"/>
      <c r="E494" s="2"/>
      <c r="F494" s="2"/>
      <c r="G494" s="2"/>
      <c r="H494" s="23"/>
      <c r="I494" s="23"/>
      <c r="J494" s="23" t="str">
        <f aca="false">IF(C494="","",IF(OR(C494="Purchase",C494="Fee",C494="Withdrawal"),-(H494+I494),H494-I494))</f>
        <v/>
      </c>
      <c r="K494" s="2"/>
      <c r="L494" s="2"/>
      <c r="M494" s="2"/>
    </row>
    <row r="495" customFormat="false" ht="15" hidden="false" customHeight="false" outlineLevel="0" collapsed="false">
      <c r="A495" s="2"/>
      <c r="B495" s="11"/>
      <c r="C495" s="2"/>
      <c r="D495" s="2"/>
      <c r="E495" s="2"/>
      <c r="F495" s="2"/>
      <c r="G495" s="2"/>
      <c r="H495" s="23"/>
      <c r="I495" s="23"/>
      <c r="J495" s="23" t="str">
        <f aca="false">IF(C495="","",IF(OR(C495="Purchase",C495="Fee",C495="Withdrawal"),-(H495+I495),H495-I495))</f>
        <v/>
      </c>
      <c r="K495" s="2"/>
      <c r="L495" s="2"/>
      <c r="M495" s="2"/>
    </row>
    <row r="496" customFormat="false" ht="15" hidden="false" customHeight="false" outlineLevel="0" collapsed="false">
      <c r="A496" s="2"/>
      <c r="B496" s="11"/>
      <c r="C496" s="2"/>
      <c r="D496" s="2"/>
      <c r="E496" s="2"/>
      <c r="F496" s="2"/>
      <c r="G496" s="2"/>
      <c r="H496" s="23"/>
      <c r="I496" s="23"/>
      <c r="J496" s="23" t="str">
        <f aca="false">IF(C496="","",IF(OR(C496="Purchase",C496="Fee",C496="Withdrawal"),-(H496+I496),H496-I496))</f>
        <v/>
      </c>
      <c r="K496" s="2"/>
      <c r="L496" s="2"/>
      <c r="M496" s="2"/>
    </row>
    <row r="497" customFormat="false" ht="15" hidden="false" customHeight="false" outlineLevel="0" collapsed="false">
      <c r="A497" s="2"/>
      <c r="B497" s="11"/>
      <c r="C497" s="2"/>
      <c r="D497" s="2"/>
      <c r="E497" s="2"/>
      <c r="F497" s="2"/>
      <c r="G497" s="2"/>
      <c r="H497" s="23"/>
      <c r="I497" s="23"/>
      <c r="J497" s="23" t="str">
        <f aca="false">IF(C497="","",IF(OR(C497="Purchase",C497="Fee",C497="Withdrawal"),-(H497+I497),H497-I497))</f>
        <v/>
      </c>
      <c r="K497" s="2"/>
      <c r="L497" s="2"/>
      <c r="M497" s="2"/>
    </row>
    <row r="498" customFormat="false" ht="15" hidden="false" customHeight="false" outlineLevel="0" collapsed="false">
      <c r="A498" s="2"/>
      <c r="B498" s="11"/>
      <c r="C498" s="2"/>
      <c r="D498" s="2"/>
      <c r="E498" s="2"/>
      <c r="F498" s="2"/>
      <c r="G498" s="2"/>
      <c r="H498" s="23"/>
      <c r="I498" s="23"/>
      <c r="J498" s="23" t="str">
        <f aca="false">IF(C498="","",IF(OR(C498="Purchase",C498="Fee",C498="Withdrawal"),-(H498+I498),H498-I498))</f>
        <v/>
      </c>
      <c r="K498" s="2"/>
      <c r="L498" s="2"/>
      <c r="M498" s="2"/>
    </row>
    <row r="499" customFormat="false" ht="15" hidden="false" customHeight="false" outlineLevel="0" collapsed="false">
      <c r="A499" s="2"/>
      <c r="B499" s="11"/>
      <c r="C499" s="2"/>
      <c r="D499" s="2"/>
      <c r="E499" s="2"/>
      <c r="F499" s="2"/>
      <c r="G499" s="2"/>
      <c r="H499" s="23"/>
      <c r="I499" s="23"/>
      <c r="J499" s="23" t="str">
        <f aca="false">IF(C499="","",IF(OR(C499="Purchase",C499="Fee",C499="Withdrawal"),-(H499+I499),H499-I499))</f>
        <v/>
      </c>
      <c r="K499" s="2"/>
      <c r="L499" s="2"/>
      <c r="M499" s="2"/>
    </row>
    <row r="500" customFormat="false" ht="15" hidden="false" customHeight="false" outlineLevel="0" collapsed="false">
      <c r="A500" s="2"/>
      <c r="B500" s="11"/>
      <c r="C500" s="2"/>
      <c r="D500" s="2"/>
      <c r="E500" s="2"/>
      <c r="F500" s="2"/>
      <c r="G500" s="2"/>
      <c r="H500" s="23"/>
      <c r="I500" s="23"/>
      <c r="J500" s="23" t="str">
        <f aca="false">IF(C500="","",IF(OR(C500="Purchase",C500="Fee",C500="Withdrawal"),-(H500+I500),H500-I500))</f>
        <v/>
      </c>
      <c r="K500" s="2"/>
      <c r="L500" s="2"/>
      <c r="M500" s="2"/>
    </row>
    <row r="501" customFormat="false" ht="15" hidden="false" customHeight="false" outlineLevel="0" collapsed="false">
      <c r="A501" s="2"/>
      <c r="B501" s="11"/>
      <c r="C501" s="2"/>
      <c r="D501" s="2"/>
      <c r="E501" s="2"/>
      <c r="F501" s="2"/>
      <c r="G501" s="2"/>
      <c r="H501" s="23"/>
      <c r="I501" s="23"/>
      <c r="J501" s="23" t="str">
        <f aca="false">IF(C501="","",IF(OR(C501="Purchase",C501="Fee",C501="Withdrawal"),-(H501+I501),H501-I501))</f>
        <v/>
      </c>
      <c r="K501" s="2"/>
      <c r="L501" s="2"/>
      <c r="M501" s="2"/>
    </row>
    <row r="502" customFormat="false" ht="15" hidden="false" customHeight="false" outlineLevel="0" collapsed="false">
      <c r="A502" s="2"/>
      <c r="B502" s="11"/>
      <c r="C502" s="2"/>
      <c r="D502" s="2"/>
      <c r="E502" s="2"/>
      <c r="F502" s="2"/>
      <c r="G502" s="2"/>
      <c r="H502" s="23"/>
      <c r="I502" s="23"/>
      <c r="J502" s="23" t="str">
        <f aca="false">IF(C502="","",IF(OR(C502="Purchase",C502="Fee",C502="Withdrawal"),-(H502+I502),H502-I502))</f>
        <v/>
      </c>
      <c r="K502" s="2"/>
      <c r="L502" s="2"/>
      <c r="M502" s="2"/>
    </row>
    <row r="503" customFormat="false" ht="15" hidden="false" customHeight="false" outlineLevel="0" collapsed="false">
      <c r="A503" s="2"/>
      <c r="B503" s="11"/>
      <c r="C503" s="2"/>
      <c r="D503" s="2"/>
      <c r="E503" s="2"/>
      <c r="F503" s="2"/>
      <c r="G503" s="2"/>
      <c r="H503" s="23"/>
      <c r="I503" s="23"/>
      <c r="J503" s="23" t="str">
        <f aca="false">IF(C503="","",IF(OR(C503="Purchase",C503="Fee",C503="Withdrawal"),-(H503+I503),H503-I503))</f>
        <v/>
      </c>
      <c r="K503" s="2"/>
      <c r="L503" s="2"/>
      <c r="M503" s="2"/>
    </row>
    <row r="504" customFormat="false" ht="15" hidden="false" customHeight="false" outlineLevel="0" collapsed="false">
      <c r="A504" s="2"/>
      <c r="B504" s="11"/>
      <c r="C504" s="2"/>
      <c r="D504" s="2"/>
      <c r="E504" s="2"/>
      <c r="F504" s="2"/>
      <c r="G504" s="2"/>
      <c r="H504" s="23"/>
      <c r="I504" s="23"/>
      <c r="J504" s="23" t="str">
        <f aca="false">IF(C504="","",IF(OR(C504="Purchase",C504="Fee",C504="Withdrawal"),-(H504+I504),H504-I504))</f>
        <v/>
      </c>
      <c r="K504" s="2"/>
      <c r="L504" s="2"/>
      <c r="M504" s="2"/>
    </row>
    <row r="505" customFormat="false" ht="15" hidden="false" customHeight="false" outlineLevel="0" collapsed="false">
      <c r="A505" s="2"/>
      <c r="B505" s="11"/>
      <c r="C505" s="2"/>
      <c r="D505" s="2"/>
      <c r="E505" s="2"/>
      <c r="F505" s="2"/>
      <c r="G505" s="2"/>
      <c r="H505" s="23"/>
      <c r="I505" s="23"/>
      <c r="J505" s="23" t="str">
        <f aca="false">IF(C505="","",IF(OR(C505="Purchase",C505="Fee",C505="Withdrawal"),-(H505+I505),H505-I505))</f>
        <v/>
      </c>
      <c r="K505" s="2"/>
      <c r="L505" s="2"/>
      <c r="M505" s="2"/>
    </row>
    <row r="506" customFormat="false" ht="15" hidden="false" customHeight="false" outlineLevel="0" collapsed="false">
      <c r="A506" s="2"/>
      <c r="B506" s="11"/>
      <c r="C506" s="2"/>
      <c r="D506" s="2"/>
      <c r="E506" s="2"/>
      <c r="F506" s="2"/>
      <c r="G506" s="2"/>
      <c r="H506" s="23"/>
      <c r="I506" s="23"/>
      <c r="J506" s="23" t="str">
        <f aca="false">IF(C506="","",IF(OR(C506="Purchase",C506="Fee",C506="Withdrawal"),-(H506+I506),H506-I506))</f>
        <v/>
      </c>
      <c r="K506" s="2"/>
      <c r="L506" s="2"/>
      <c r="M506" s="2"/>
    </row>
    <row r="507" customFormat="false" ht="15" hidden="false" customHeight="false" outlineLevel="0" collapsed="false">
      <c r="A507" s="2"/>
      <c r="B507" s="11"/>
      <c r="C507" s="2"/>
      <c r="D507" s="2"/>
      <c r="E507" s="2"/>
      <c r="F507" s="2"/>
      <c r="G507" s="2"/>
      <c r="H507" s="23"/>
      <c r="I507" s="23"/>
      <c r="J507" s="23" t="str">
        <f aca="false">IF(C507="","",IF(OR(C507="Purchase",C507="Fee",C507="Withdrawal"),-(H507+I507),H507-I507))</f>
        <v/>
      </c>
      <c r="K507" s="2"/>
      <c r="L507" s="2"/>
      <c r="M507" s="2"/>
    </row>
    <row r="508" customFormat="false" ht="15" hidden="false" customHeight="false" outlineLevel="0" collapsed="false">
      <c r="A508" s="2"/>
      <c r="B508" s="11"/>
      <c r="C508" s="2"/>
      <c r="D508" s="2"/>
      <c r="E508" s="2"/>
      <c r="F508" s="2"/>
      <c r="G508" s="2"/>
      <c r="H508" s="23"/>
      <c r="I508" s="23"/>
      <c r="J508" s="23" t="str">
        <f aca="false">IF(C508="","",IF(OR(C508="Purchase",C508="Fee",C508="Withdrawal"),-(H508+I508),H508-I508))</f>
        <v/>
      </c>
      <c r="K508" s="2"/>
      <c r="L508" s="2"/>
      <c r="M508" s="2"/>
    </row>
    <row r="509" customFormat="false" ht="15" hidden="false" customHeight="false" outlineLevel="0" collapsed="false">
      <c r="A509" s="2"/>
      <c r="B509" s="11"/>
      <c r="C509" s="2"/>
      <c r="D509" s="2"/>
      <c r="E509" s="2"/>
      <c r="F509" s="2"/>
      <c r="G509" s="2"/>
      <c r="H509" s="23"/>
      <c r="I509" s="23"/>
      <c r="J509" s="23" t="str">
        <f aca="false">IF(C509="","",IF(OR(C509="Purchase",C509="Fee",C509="Withdrawal"),-(H509+I509),H509-I509))</f>
        <v/>
      </c>
      <c r="K509" s="2"/>
      <c r="L509" s="2"/>
      <c r="M509" s="2"/>
    </row>
    <row r="510" customFormat="false" ht="15" hidden="false" customHeight="false" outlineLevel="0" collapsed="false">
      <c r="A510" s="2"/>
      <c r="B510" s="11"/>
      <c r="C510" s="2"/>
      <c r="D510" s="2"/>
      <c r="E510" s="2"/>
      <c r="F510" s="2"/>
      <c r="G510" s="2"/>
      <c r="H510" s="23"/>
      <c r="I510" s="23"/>
      <c r="J510" s="23" t="str">
        <f aca="false">IF(C510="","",IF(OR(C510="Purchase",C510="Fee",C510="Withdrawal"),-(H510+I510),H510-I510))</f>
        <v/>
      </c>
      <c r="K510" s="2"/>
      <c r="L510" s="2"/>
      <c r="M510" s="2"/>
    </row>
    <row r="511" customFormat="false" ht="15" hidden="false" customHeight="false" outlineLevel="0" collapsed="false">
      <c r="A511" s="2"/>
      <c r="B511" s="11"/>
      <c r="C511" s="2"/>
      <c r="D511" s="2"/>
      <c r="E511" s="2"/>
      <c r="F511" s="2"/>
      <c r="G511" s="2"/>
      <c r="H511" s="23"/>
      <c r="I511" s="23"/>
      <c r="J511" s="23" t="str">
        <f aca="false">IF(C511="","",IF(OR(C511="Purchase",C511="Fee",C511="Withdrawal"),-(H511+I511),H511-I511))</f>
        <v/>
      </c>
      <c r="K511" s="2"/>
      <c r="L511" s="2"/>
      <c r="M511" s="2"/>
    </row>
    <row r="512" customFormat="false" ht="15" hidden="false" customHeight="false" outlineLevel="0" collapsed="false">
      <c r="A512" s="2"/>
      <c r="B512" s="11"/>
      <c r="C512" s="2"/>
      <c r="D512" s="2"/>
      <c r="E512" s="2"/>
      <c r="F512" s="2"/>
      <c r="G512" s="2"/>
      <c r="H512" s="23"/>
      <c r="I512" s="23"/>
      <c r="J512" s="23" t="str">
        <f aca="false">IF(C512="","",IF(OR(C512="Purchase",C512="Fee",C512="Withdrawal"),-(H512+I512),H512-I512))</f>
        <v/>
      </c>
      <c r="K512" s="2"/>
      <c r="L512" s="2"/>
      <c r="M512" s="2"/>
    </row>
    <row r="513" customFormat="false" ht="15" hidden="false" customHeight="false" outlineLevel="0" collapsed="false">
      <c r="A513" s="2"/>
      <c r="B513" s="11"/>
      <c r="C513" s="2"/>
      <c r="D513" s="2"/>
      <c r="E513" s="2"/>
      <c r="F513" s="2"/>
      <c r="G513" s="2"/>
      <c r="H513" s="23"/>
      <c r="I513" s="23"/>
      <c r="J513" s="23" t="str">
        <f aca="false">IF(C513="","",IF(OR(C513="Purchase",C513="Fee",C513="Withdrawal"),-(H513+I513),H513-I513))</f>
        <v/>
      </c>
      <c r="K513" s="2"/>
      <c r="L513" s="2"/>
      <c r="M513" s="2"/>
    </row>
    <row r="514" customFormat="false" ht="15" hidden="false" customHeight="false" outlineLevel="0" collapsed="false">
      <c r="A514" s="2"/>
      <c r="B514" s="11"/>
      <c r="C514" s="2"/>
      <c r="D514" s="2"/>
      <c r="E514" s="2"/>
      <c r="F514" s="2"/>
      <c r="G514" s="2"/>
      <c r="H514" s="23"/>
      <c r="I514" s="23"/>
      <c r="J514" s="23" t="str">
        <f aca="false">IF(C514="","",IF(OR(C514="Purchase",C514="Fee",C514="Withdrawal"),-(H514+I514),H514-I514))</f>
        <v/>
      </c>
      <c r="K514" s="2"/>
      <c r="L514" s="2"/>
      <c r="M514" s="2"/>
    </row>
    <row r="515" customFormat="false" ht="15" hidden="false" customHeight="false" outlineLevel="0" collapsed="false">
      <c r="A515" s="2"/>
      <c r="B515" s="11"/>
      <c r="C515" s="2"/>
      <c r="D515" s="2"/>
      <c r="E515" s="2"/>
      <c r="F515" s="2"/>
      <c r="G515" s="2"/>
      <c r="H515" s="23"/>
      <c r="I515" s="23"/>
      <c r="J515" s="23" t="str">
        <f aca="false">IF(C515="","",IF(OR(C515="Purchase",C515="Fee",C515="Withdrawal"),-(H515+I515),H515-I515))</f>
        <v/>
      </c>
      <c r="K515" s="2"/>
      <c r="L515" s="2"/>
      <c r="M515" s="2"/>
    </row>
    <row r="516" customFormat="false" ht="15" hidden="false" customHeight="false" outlineLevel="0" collapsed="false">
      <c r="A516" s="2"/>
      <c r="B516" s="11"/>
      <c r="C516" s="2"/>
      <c r="D516" s="2"/>
      <c r="E516" s="2"/>
      <c r="F516" s="2"/>
      <c r="G516" s="2"/>
      <c r="H516" s="23"/>
      <c r="I516" s="23"/>
      <c r="J516" s="23" t="str">
        <f aca="false">IF(C516="","",IF(OR(C516="Purchase",C516="Fee",C516="Withdrawal"),-(H516+I516),H516-I516))</f>
        <v/>
      </c>
      <c r="K516" s="2"/>
      <c r="L516" s="2"/>
      <c r="M516" s="2"/>
    </row>
    <row r="517" customFormat="false" ht="15" hidden="false" customHeight="false" outlineLevel="0" collapsed="false">
      <c r="A517" s="2"/>
      <c r="B517" s="11"/>
      <c r="C517" s="2"/>
      <c r="D517" s="2"/>
      <c r="E517" s="2"/>
      <c r="F517" s="2"/>
      <c r="G517" s="2"/>
      <c r="H517" s="23"/>
      <c r="I517" s="23"/>
      <c r="J517" s="23" t="str">
        <f aca="false">IF(C517="","",IF(OR(C517="Purchase",C517="Fee",C517="Withdrawal"),-(H517+I517),H517-I517))</f>
        <v/>
      </c>
      <c r="K517" s="2"/>
      <c r="L517" s="2"/>
      <c r="M517" s="2"/>
    </row>
    <row r="518" customFormat="false" ht="15" hidden="false" customHeight="false" outlineLevel="0" collapsed="false">
      <c r="A518" s="2"/>
      <c r="B518" s="11"/>
      <c r="C518" s="2"/>
      <c r="D518" s="2"/>
      <c r="E518" s="2"/>
      <c r="F518" s="2"/>
      <c r="G518" s="2"/>
      <c r="H518" s="23"/>
      <c r="I518" s="23"/>
      <c r="J518" s="23" t="str">
        <f aca="false">IF(C518="","",IF(OR(C518="Purchase",C518="Fee",C518="Withdrawal"),-(H518+I518),H518-I518))</f>
        <v/>
      </c>
      <c r="K518" s="2"/>
      <c r="L518" s="2"/>
      <c r="M518" s="2"/>
    </row>
    <row r="519" customFormat="false" ht="15" hidden="false" customHeight="false" outlineLevel="0" collapsed="false">
      <c r="A519" s="2"/>
      <c r="B519" s="11"/>
      <c r="C519" s="2"/>
      <c r="D519" s="2"/>
      <c r="E519" s="2"/>
      <c r="F519" s="2"/>
      <c r="G519" s="2"/>
      <c r="H519" s="23"/>
      <c r="I519" s="23"/>
      <c r="J519" s="23" t="str">
        <f aca="false">IF(C519="","",IF(OR(C519="Purchase",C519="Fee",C519="Withdrawal"),-(H519+I519),H519-I519))</f>
        <v/>
      </c>
      <c r="K519" s="2"/>
      <c r="L519" s="2"/>
      <c r="M519" s="2"/>
    </row>
    <row r="520" customFormat="false" ht="15" hidden="false" customHeight="false" outlineLevel="0" collapsed="false">
      <c r="A520" s="2"/>
      <c r="B520" s="11"/>
      <c r="C520" s="2"/>
      <c r="D520" s="2"/>
      <c r="E520" s="2"/>
      <c r="F520" s="2"/>
      <c r="G520" s="2"/>
      <c r="H520" s="23"/>
      <c r="I520" s="23"/>
      <c r="J520" s="23" t="str">
        <f aca="false">IF(C520="","",IF(OR(C520="Purchase",C520="Fee",C520="Withdrawal"),-(H520+I520),H520-I520))</f>
        <v/>
      </c>
      <c r="K520" s="2"/>
      <c r="L520" s="2"/>
      <c r="M520" s="2"/>
    </row>
    <row r="521" customFormat="false" ht="15" hidden="false" customHeight="false" outlineLevel="0" collapsed="false">
      <c r="A521" s="2"/>
      <c r="B521" s="11"/>
      <c r="C521" s="2"/>
      <c r="D521" s="2"/>
      <c r="E521" s="2"/>
      <c r="F521" s="2"/>
      <c r="G521" s="2"/>
      <c r="H521" s="23"/>
      <c r="I521" s="23"/>
      <c r="J521" s="23" t="str">
        <f aca="false">IF(C521="","",IF(OR(C521="Purchase",C521="Fee",C521="Withdrawal"),-(H521+I521),H521-I521))</f>
        <v/>
      </c>
      <c r="K521" s="2"/>
      <c r="L521" s="2"/>
      <c r="M521" s="2"/>
    </row>
    <row r="522" customFormat="false" ht="15" hidden="false" customHeight="false" outlineLevel="0" collapsed="false">
      <c r="A522" s="2"/>
      <c r="B522" s="11"/>
      <c r="C522" s="2"/>
      <c r="D522" s="2"/>
      <c r="E522" s="2"/>
      <c r="F522" s="2"/>
      <c r="G522" s="2"/>
      <c r="H522" s="23"/>
      <c r="I522" s="23"/>
      <c r="J522" s="23" t="str">
        <f aca="false">IF(C522="","",IF(OR(C522="Purchase",C522="Fee",C522="Withdrawal"),-(H522+I522),H522-I522))</f>
        <v/>
      </c>
      <c r="K522" s="2"/>
      <c r="L522" s="2"/>
      <c r="M522" s="2"/>
    </row>
    <row r="523" customFormat="false" ht="15" hidden="false" customHeight="false" outlineLevel="0" collapsed="false">
      <c r="A523" s="2"/>
      <c r="B523" s="11"/>
      <c r="C523" s="2"/>
      <c r="D523" s="2"/>
      <c r="E523" s="2"/>
      <c r="F523" s="2"/>
      <c r="G523" s="2"/>
      <c r="H523" s="23"/>
      <c r="I523" s="23"/>
      <c r="J523" s="23" t="str">
        <f aca="false">IF(C523="","",IF(OR(C523="Purchase",C523="Fee",C523="Withdrawal"),-(H523+I523),H523-I523))</f>
        <v/>
      </c>
      <c r="K523" s="2"/>
      <c r="L523" s="2"/>
      <c r="M523" s="2"/>
    </row>
    <row r="524" customFormat="false" ht="15" hidden="false" customHeight="false" outlineLevel="0" collapsed="false">
      <c r="A524" s="2"/>
      <c r="B524" s="11"/>
      <c r="C524" s="2"/>
      <c r="D524" s="2"/>
      <c r="E524" s="2"/>
      <c r="F524" s="2"/>
      <c r="G524" s="2"/>
      <c r="H524" s="23"/>
      <c r="I524" s="23"/>
      <c r="J524" s="23" t="str">
        <f aca="false">IF(C524="","",IF(OR(C524="Purchase",C524="Fee",C524="Withdrawal"),-(H524+I524),H524-I524))</f>
        <v/>
      </c>
      <c r="K524" s="2"/>
      <c r="L524" s="2"/>
      <c r="M524" s="2"/>
    </row>
    <row r="525" customFormat="false" ht="15" hidden="false" customHeight="false" outlineLevel="0" collapsed="false">
      <c r="A525" s="2"/>
      <c r="B525" s="11"/>
      <c r="C525" s="2"/>
      <c r="D525" s="2"/>
      <c r="E525" s="2"/>
      <c r="F525" s="2"/>
      <c r="G525" s="2"/>
      <c r="H525" s="23"/>
      <c r="I525" s="23"/>
      <c r="J525" s="23" t="str">
        <f aca="false">IF(C525="","",IF(OR(C525="Purchase",C525="Fee",C525="Withdrawal"),-(H525+I525),H525-I525))</f>
        <v/>
      </c>
      <c r="K525" s="2"/>
      <c r="L525" s="2"/>
      <c r="M525" s="2"/>
    </row>
    <row r="526" customFormat="false" ht="15" hidden="false" customHeight="false" outlineLevel="0" collapsed="false">
      <c r="A526" s="2"/>
      <c r="B526" s="11"/>
      <c r="C526" s="2"/>
      <c r="D526" s="2"/>
      <c r="E526" s="2"/>
      <c r="F526" s="2"/>
      <c r="G526" s="2"/>
      <c r="H526" s="23"/>
      <c r="I526" s="23"/>
      <c r="J526" s="23" t="str">
        <f aca="false">IF(C526="","",IF(OR(C526="Purchase",C526="Fee",C526="Withdrawal"),-(H526+I526),H526-I526))</f>
        <v/>
      </c>
      <c r="K526" s="2"/>
      <c r="L526" s="2"/>
      <c r="M526" s="2"/>
    </row>
    <row r="527" customFormat="false" ht="15" hidden="false" customHeight="false" outlineLevel="0" collapsed="false">
      <c r="A527" s="2"/>
      <c r="B527" s="11"/>
      <c r="C527" s="2"/>
      <c r="D527" s="2"/>
      <c r="E527" s="2"/>
      <c r="F527" s="2"/>
      <c r="G527" s="2"/>
      <c r="H527" s="23"/>
      <c r="I527" s="23"/>
      <c r="J527" s="23" t="str">
        <f aca="false">IF(C527="","",IF(OR(C527="Purchase",C527="Fee",C527="Withdrawal"),-(H527+I527),H527-I527))</f>
        <v/>
      </c>
      <c r="K527" s="2"/>
      <c r="L527" s="2"/>
      <c r="M527" s="2"/>
    </row>
    <row r="528" customFormat="false" ht="15" hidden="false" customHeight="false" outlineLevel="0" collapsed="false">
      <c r="A528" s="2"/>
      <c r="B528" s="11"/>
      <c r="C528" s="2"/>
      <c r="D528" s="2"/>
      <c r="E528" s="2"/>
      <c r="F528" s="2"/>
      <c r="G528" s="2"/>
      <c r="H528" s="23"/>
      <c r="I528" s="23"/>
      <c r="J528" s="23" t="str">
        <f aca="false">IF(C528="","",IF(OR(C528="Purchase",C528="Fee",C528="Withdrawal"),-(H528+I528),H528-I528))</f>
        <v/>
      </c>
      <c r="K528" s="2"/>
      <c r="L528" s="2"/>
      <c r="M528" s="2"/>
    </row>
    <row r="529" customFormat="false" ht="15" hidden="false" customHeight="false" outlineLevel="0" collapsed="false">
      <c r="A529" s="2"/>
      <c r="B529" s="11"/>
      <c r="C529" s="2"/>
      <c r="D529" s="2"/>
      <c r="E529" s="2"/>
      <c r="F529" s="2"/>
      <c r="G529" s="2"/>
      <c r="H529" s="23"/>
      <c r="I529" s="23"/>
      <c r="J529" s="23" t="str">
        <f aca="false">IF(C529="","",IF(OR(C529="Purchase",C529="Fee",C529="Withdrawal"),-(H529+I529),H529-I529))</f>
        <v/>
      </c>
      <c r="K529" s="2"/>
      <c r="L529" s="2"/>
      <c r="M529" s="2"/>
    </row>
    <row r="530" customFormat="false" ht="15" hidden="false" customHeight="false" outlineLevel="0" collapsed="false">
      <c r="A530" s="2"/>
      <c r="B530" s="11"/>
      <c r="C530" s="2"/>
      <c r="D530" s="2"/>
      <c r="E530" s="2"/>
      <c r="F530" s="2"/>
      <c r="G530" s="2"/>
      <c r="H530" s="23"/>
      <c r="I530" s="23"/>
      <c r="J530" s="23" t="str">
        <f aca="false">IF(C530="","",IF(OR(C530="Purchase",C530="Fee",C530="Withdrawal"),-(H530+I530),H530-I530))</f>
        <v/>
      </c>
      <c r="K530" s="2"/>
      <c r="L530" s="2"/>
      <c r="M530" s="2"/>
    </row>
    <row r="531" customFormat="false" ht="15" hidden="false" customHeight="false" outlineLevel="0" collapsed="false">
      <c r="A531" s="2"/>
      <c r="B531" s="11"/>
      <c r="C531" s="2"/>
      <c r="D531" s="2"/>
      <c r="E531" s="2"/>
      <c r="F531" s="2"/>
      <c r="G531" s="2"/>
      <c r="H531" s="23"/>
      <c r="I531" s="23"/>
      <c r="J531" s="23" t="str">
        <f aca="false">IF(C531="","",IF(OR(C531="Purchase",C531="Fee",C531="Withdrawal"),-(H531+I531),H531-I531))</f>
        <v/>
      </c>
      <c r="K531" s="2"/>
      <c r="L531" s="2"/>
      <c r="M531" s="2"/>
    </row>
    <row r="532" customFormat="false" ht="15" hidden="false" customHeight="false" outlineLevel="0" collapsed="false">
      <c r="A532" s="2"/>
      <c r="B532" s="11"/>
      <c r="C532" s="2"/>
      <c r="D532" s="2"/>
      <c r="E532" s="2"/>
      <c r="F532" s="2"/>
      <c r="G532" s="2"/>
      <c r="H532" s="23"/>
      <c r="I532" s="23"/>
      <c r="J532" s="23" t="str">
        <f aca="false">IF(C532="","",IF(OR(C532="Purchase",C532="Fee",C532="Withdrawal"),-(H532+I532),H532-I532))</f>
        <v/>
      </c>
      <c r="K532" s="2"/>
      <c r="L532" s="2"/>
      <c r="M532" s="2"/>
    </row>
    <row r="533" customFormat="false" ht="15" hidden="false" customHeight="false" outlineLevel="0" collapsed="false">
      <c r="A533" s="2"/>
      <c r="B533" s="11"/>
      <c r="C533" s="2"/>
      <c r="D533" s="2"/>
      <c r="E533" s="2"/>
      <c r="F533" s="2"/>
      <c r="G533" s="2"/>
      <c r="H533" s="23"/>
      <c r="I533" s="23"/>
      <c r="J533" s="23" t="str">
        <f aca="false">IF(C533="","",IF(OR(C533="Purchase",C533="Fee",C533="Withdrawal"),-(H533+I533),H533-I533))</f>
        <v/>
      </c>
      <c r="K533" s="2"/>
      <c r="L533" s="2"/>
      <c r="M533" s="2"/>
    </row>
    <row r="534" customFormat="false" ht="15" hidden="false" customHeight="false" outlineLevel="0" collapsed="false">
      <c r="A534" s="2"/>
      <c r="B534" s="11"/>
      <c r="C534" s="2"/>
      <c r="D534" s="2"/>
      <c r="E534" s="2"/>
      <c r="F534" s="2"/>
      <c r="G534" s="2"/>
      <c r="H534" s="23"/>
      <c r="I534" s="23"/>
      <c r="J534" s="23" t="str">
        <f aca="false">IF(C534="","",IF(OR(C534="Purchase",C534="Fee",C534="Withdrawal"),-(H534+I534),H534-I534))</f>
        <v/>
      </c>
      <c r="K534" s="2"/>
      <c r="L534" s="2"/>
      <c r="M534" s="2"/>
    </row>
    <row r="535" customFormat="false" ht="15" hidden="false" customHeight="false" outlineLevel="0" collapsed="false">
      <c r="A535" s="2"/>
      <c r="B535" s="11"/>
      <c r="C535" s="2"/>
      <c r="D535" s="2"/>
      <c r="E535" s="2"/>
      <c r="F535" s="2"/>
      <c r="G535" s="2"/>
      <c r="H535" s="23"/>
      <c r="I535" s="23"/>
      <c r="J535" s="23" t="str">
        <f aca="false">IF(C535="","",IF(OR(C535="Purchase",C535="Fee",C535="Withdrawal"),-(H535+I535),H535-I535))</f>
        <v/>
      </c>
      <c r="K535" s="2"/>
      <c r="L535" s="2"/>
      <c r="M535" s="2"/>
    </row>
    <row r="536" customFormat="false" ht="15" hidden="false" customHeight="false" outlineLevel="0" collapsed="false">
      <c r="A536" s="2"/>
      <c r="B536" s="11"/>
      <c r="C536" s="2"/>
      <c r="D536" s="2"/>
      <c r="E536" s="2"/>
      <c r="F536" s="2"/>
      <c r="G536" s="2"/>
      <c r="H536" s="23"/>
      <c r="I536" s="23"/>
      <c r="J536" s="23" t="str">
        <f aca="false">IF(C536="","",IF(OR(C536="Purchase",C536="Fee",C536="Withdrawal"),-(H536+I536),H536-I536))</f>
        <v/>
      </c>
      <c r="K536" s="2"/>
      <c r="L536" s="2"/>
      <c r="M536" s="2"/>
    </row>
    <row r="537" customFormat="false" ht="15" hidden="false" customHeight="false" outlineLevel="0" collapsed="false">
      <c r="A537" s="2"/>
      <c r="B537" s="11"/>
      <c r="C537" s="2"/>
      <c r="D537" s="2"/>
      <c r="E537" s="2"/>
      <c r="F537" s="2"/>
      <c r="G537" s="2"/>
      <c r="H537" s="23"/>
      <c r="I537" s="23"/>
      <c r="J537" s="23" t="str">
        <f aca="false">IF(C537="","",IF(OR(C537="Purchase",C537="Fee",C537="Withdrawal"),-(H537+I537),H537-I537))</f>
        <v/>
      </c>
      <c r="K537" s="2"/>
      <c r="L537" s="2"/>
      <c r="M537" s="2"/>
    </row>
    <row r="538" customFormat="false" ht="15" hidden="false" customHeight="false" outlineLevel="0" collapsed="false">
      <c r="A538" s="2"/>
      <c r="B538" s="11"/>
      <c r="C538" s="2"/>
      <c r="D538" s="2"/>
      <c r="E538" s="2"/>
      <c r="F538" s="2"/>
      <c r="G538" s="2"/>
      <c r="H538" s="23"/>
      <c r="I538" s="23"/>
      <c r="J538" s="23" t="str">
        <f aca="false">IF(C538="","",IF(OR(C538="Purchase",C538="Fee",C538="Withdrawal"),-(H538+I538),H538-I538))</f>
        <v/>
      </c>
      <c r="K538" s="2"/>
      <c r="L538" s="2"/>
      <c r="M538" s="2"/>
    </row>
    <row r="539" customFormat="false" ht="15" hidden="false" customHeight="false" outlineLevel="0" collapsed="false">
      <c r="A539" s="2"/>
      <c r="B539" s="11"/>
      <c r="C539" s="2"/>
      <c r="D539" s="2"/>
      <c r="E539" s="2"/>
      <c r="F539" s="2"/>
      <c r="G539" s="2"/>
      <c r="H539" s="23"/>
      <c r="I539" s="23"/>
      <c r="J539" s="23" t="str">
        <f aca="false">IF(C539="","",IF(OR(C539="Purchase",C539="Fee",C539="Withdrawal"),-(H539+I539),H539-I539))</f>
        <v/>
      </c>
      <c r="K539" s="2"/>
      <c r="L539" s="2"/>
      <c r="M539" s="2"/>
    </row>
    <row r="540" customFormat="false" ht="15" hidden="false" customHeight="false" outlineLevel="0" collapsed="false">
      <c r="A540" s="2"/>
      <c r="B540" s="11"/>
      <c r="C540" s="2"/>
      <c r="D540" s="2"/>
      <c r="E540" s="2"/>
      <c r="F540" s="2"/>
      <c r="G540" s="2"/>
      <c r="H540" s="23"/>
      <c r="I540" s="23"/>
      <c r="J540" s="23" t="str">
        <f aca="false">IF(C540="","",IF(OR(C540="Purchase",C540="Fee",C540="Withdrawal"),-(H540+I540),H540-I540))</f>
        <v/>
      </c>
      <c r="K540" s="2"/>
      <c r="L540" s="2"/>
      <c r="M540" s="2"/>
    </row>
    <row r="541" customFormat="false" ht="15" hidden="false" customHeight="false" outlineLevel="0" collapsed="false">
      <c r="A541" s="2"/>
      <c r="B541" s="11"/>
      <c r="C541" s="2"/>
      <c r="D541" s="2"/>
      <c r="E541" s="2"/>
      <c r="F541" s="2"/>
      <c r="G541" s="2"/>
      <c r="H541" s="23"/>
      <c r="I541" s="23"/>
      <c r="J541" s="23" t="str">
        <f aca="false">IF(C541="","",IF(OR(C541="Purchase",C541="Fee",C541="Withdrawal"),-(H541+I541),H541-I541))</f>
        <v/>
      </c>
      <c r="K541" s="2"/>
      <c r="L541" s="2"/>
      <c r="M541" s="2"/>
    </row>
    <row r="542" customFormat="false" ht="15" hidden="false" customHeight="false" outlineLevel="0" collapsed="false">
      <c r="A542" s="2"/>
      <c r="B542" s="11"/>
      <c r="C542" s="2"/>
      <c r="D542" s="2"/>
      <c r="E542" s="2"/>
      <c r="F542" s="2"/>
      <c r="G542" s="2"/>
      <c r="H542" s="23"/>
      <c r="I542" s="23"/>
      <c r="J542" s="23" t="str">
        <f aca="false">IF(C542="","",IF(OR(C542="Purchase",C542="Fee",C542="Withdrawal"),-(H542+I542),H542-I542))</f>
        <v/>
      </c>
      <c r="K542" s="2"/>
      <c r="L542" s="2"/>
      <c r="M542" s="2"/>
    </row>
    <row r="543" customFormat="false" ht="15" hidden="false" customHeight="false" outlineLevel="0" collapsed="false">
      <c r="A543" s="2"/>
      <c r="B543" s="11"/>
      <c r="C543" s="2"/>
      <c r="D543" s="2"/>
      <c r="E543" s="2"/>
      <c r="F543" s="2"/>
      <c r="G543" s="2"/>
      <c r="H543" s="23"/>
      <c r="I543" s="23"/>
      <c r="J543" s="23" t="str">
        <f aca="false">IF(C543="","",IF(OR(C543="Purchase",C543="Fee",C543="Withdrawal"),-(H543+I543),H543-I543))</f>
        <v/>
      </c>
      <c r="K543" s="2"/>
      <c r="L543" s="2"/>
      <c r="M543" s="2"/>
    </row>
    <row r="544" customFormat="false" ht="15" hidden="false" customHeight="false" outlineLevel="0" collapsed="false">
      <c r="A544" s="2"/>
      <c r="B544" s="11"/>
      <c r="C544" s="2"/>
      <c r="D544" s="2"/>
      <c r="E544" s="2"/>
      <c r="F544" s="2"/>
      <c r="G544" s="2"/>
      <c r="H544" s="23"/>
      <c r="I544" s="23"/>
      <c r="J544" s="23" t="str">
        <f aca="false">IF(C544="","",IF(OR(C544="Purchase",C544="Fee",C544="Withdrawal"),-(H544+I544),H544-I544))</f>
        <v/>
      </c>
      <c r="K544" s="2"/>
      <c r="L544" s="2"/>
      <c r="M544" s="2"/>
    </row>
    <row r="545" customFormat="false" ht="15" hidden="false" customHeight="false" outlineLevel="0" collapsed="false">
      <c r="A545" s="2"/>
      <c r="B545" s="11"/>
      <c r="C545" s="2"/>
      <c r="D545" s="2"/>
      <c r="E545" s="2"/>
      <c r="F545" s="2"/>
      <c r="G545" s="2"/>
      <c r="H545" s="23"/>
      <c r="I545" s="23"/>
      <c r="J545" s="23" t="str">
        <f aca="false">IF(C545="","",IF(OR(C545="Purchase",C545="Fee",C545="Withdrawal"),-(H545+I545),H545-I545))</f>
        <v/>
      </c>
      <c r="K545" s="2"/>
      <c r="L545" s="2"/>
      <c r="M545" s="2"/>
    </row>
    <row r="546" customFormat="false" ht="15" hidden="false" customHeight="false" outlineLevel="0" collapsed="false">
      <c r="A546" s="2"/>
      <c r="B546" s="11"/>
      <c r="C546" s="2"/>
      <c r="D546" s="2"/>
      <c r="E546" s="2"/>
      <c r="F546" s="2"/>
      <c r="G546" s="2"/>
      <c r="H546" s="23"/>
      <c r="I546" s="23"/>
      <c r="J546" s="23" t="str">
        <f aca="false">IF(C546="","",IF(OR(C546="Purchase",C546="Fee",C546="Withdrawal"),-(H546+I546),H546-I546))</f>
        <v/>
      </c>
      <c r="K546" s="2"/>
      <c r="L546" s="2"/>
      <c r="M546" s="2"/>
    </row>
    <row r="547" customFormat="false" ht="15" hidden="false" customHeight="false" outlineLevel="0" collapsed="false">
      <c r="A547" s="2"/>
      <c r="B547" s="11"/>
      <c r="C547" s="2"/>
      <c r="D547" s="2"/>
      <c r="E547" s="2"/>
      <c r="F547" s="2"/>
      <c r="G547" s="2"/>
      <c r="H547" s="23"/>
      <c r="I547" s="23"/>
      <c r="J547" s="23" t="str">
        <f aca="false">IF(C547="","",IF(OR(C547="Purchase",C547="Fee",C547="Withdrawal"),-(H547+I547),H547-I547))</f>
        <v/>
      </c>
      <c r="K547" s="2"/>
      <c r="L547" s="2"/>
      <c r="M547" s="2"/>
    </row>
    <row r="548" customFormat="false" ht="15" hidden="false" customHeight="false" outlineLevel="0" collapsed="false">
      <c r="A548" s="2"/>
      <c r="B548" s="11"/>
      <c r="C548" s="2"/>
      <c r="D548" s="2"/>
      <c r="E548" s="2"/>
      <c r="F548" s="2"/>
      <c r="G548" s="2"/>
      <c r="H548" s="23"/>
      <c r="I548" s="23"/>
      <c r="J548" s="23" t="str">
        <f aca="false">IF(C548="","",IF(OR(C548="Purchase",C548="Fee",C548="Withdrawal"),-(H548+I548),H548-I548))</f>
        <v/>
      </c>
      <c r="K548" s="2"/>
      <c r="L548" s="2"/>
      <c r="M548" s="2"/>
    </row>
    <row r="549" customFormat="false" ht="15" hidden="false" customHeight="false" outlineLevel="0" collapsed="false">
      <c r="A549" s="2"/>
      <c r="B549" s="11"/>
      <c r="C549" s="2"/>
      <c r="D549" s="2"/>
      <c r="E549" s="2"/>
      <c r="F549" s="2"/>
      <c r="G549" s="2"/>
      <c r="H549" s="23"/>
      <c r="I549" s="23"/>
      <c r="J549" s="23" t="str">
        <f aca="false">IF(C549="","",IF(OR(C549="Purchase",C549="Fee",C549="Withdrawal"),-(H549+I549),H549-I549))</f>
        <v/>
      </c>
      <c r="K549" s="2"/>
      <c r="L549" s="2"/>
      <c r="M549" s="2"/>
    </row>
    <row r="550" customFormat="false" ht="15" hidden="false" customHeight="false" outlineLevel="0" collapsed="false">
      <c r="A550" s="2"/>
      <c r="B550" s="11"/>
      <c r="C550" s="2"/>
      <c r="D550" s="2"/>
      <c r="E550" s="2"/>
      <c r="F550" s="2"/>
      <c r="G550" s="2"/>
      <c r="H550" s="23"/>
      <c r="I550" s="23"/>
      <c r="J550" s="23" t="str">
        <f aca="false">IF(C550="","",IF(OR(C550="Purchase",C550="Fee",C550="Withdrawal"),-(H550+I550),H550-I550))</f>
        <v/>
      </c>
      <c r="K550" s="2"/>
      <c r="L550" s="2"/>
      <c r="M550" s="2"/>
    </row>
    <row r="551" customFormat="false" ht="15" hidden="false" customHeight="false" outlineLevel="0" collapsed="false">
      <c r="A551" s="2"/>
      <c r="B551" s="11"/>
      <c r="C551" s="2"/>
      <c r="D551" s="2"/>
      <c r="E551" s="2"/>
      <c r="F551" s="2"/>
      <c r="G551" s="2"/>
      <c r="H551" s="23"/>
      <c r="I551" s="23"/>
      <c r="J551" s="23" t="str">
        <f aca="false">IF(C551="","",IF(OR(C551="Purchase",C551="Fee",C551="Withdrawal"),-(H551+I551),H551-I551))</f>
        <v/>
      </c>
      <c r="K551" s="2"/>
      <c r="L551" s="2"/>
      <c r="M551" s="2"/>
    </row>
    <row r="552" customFormat="false" ht="15" hidden="false" customHeight="false" outlineLevel="0" collapsed="false">
      <c r="A552" s="2"/>
      <c r="B552" s="11"/>
      <c r="C552" s="2"/>
      <c r="D552" s="2"/>
      <c r="E552" s="2"/>
      <c r="F552" s="2"/>
      <c r="G552" s="2"/>
      <c r="H552" s="23"/>
      <c r="I552" s="23"/>
      <c r="J552" s="23" t="str">
        <f aca="false">IF(C552="","",IF(OR(C552="Purchase",C552="Fee",C552="Withdrawal"),-(H552+I552),H552-I552))</f>
        <v/>
      </c>
      <c r="K552" s="2"/>
      <c r="L552" s="2"/>
      <c r="M552" s="2"/>
    </row>
    <row r="553" customFormat="false" ht="15" hidden="false" customHeight="false" outlineLevel="0" collapsed="false">
      <c r="A553" s="2"/>
      <c r="B553" s="11"/>
      <c r="C553" s="2"/>
      <c r="D553" s="2"/>
      <c r="E553" s="2"/>
      <c r="F553" s="2"/>
      <c r="G553" s="2"/>
      <c r="H553" s="23"/>
      <c r="I553" s="23"/>
      <c r="J553" s="23" t="str">
        <f aca="false">IF(C553="","",IF(OR(C553="Purchase",C553="Fee",C553="Withdrawal"),-(H553+I553),H553-I553))</f>
        <v/>
      </c>
      <c r="K553" s="2"/>
      <c r="L553" s="2"/>
      <c r="M553" s="2"/>
    </row>
    <row r="554" customFormat="false" ht="15" hidden="false" customHeight="false" outlineLevel="0" collapsed="false">
      <c r="A554" s="2"/>
      <c r="B554" s="11"/>
      <c r="C554" s="2"/>
      <c r="D554" s="2"/>
      <c r="E554" s="2"/>
      <c r="F554" s="2"/>
      <c r="G554" s="2"/>
      <c r="H554" s="23"/>
      <c r="I554" s="23"/>
      <c r="J554" s="23" t="str">
        <f aca="false">IF(C554="","",IF(OR(C554="Purchase",C554="Fee",C554="Withdrawal"),-(H554+I554),H554-I554))</f>
        <v/>
      </c>
      <c r="K554" s="2"/>
      <c r="L554" s="2"/>
      <c r="M554" s="2"/>
    </row>
    <row r="555" customFormat="false" ht="15" hidden="false" customHeight="false" outlineLevel="0" collapsed="false">
      <c r="A555" s="2"/>
      <c r="B555" s="11"/>
      <c r="C555" s="2"/>
      <c r="D555" s="2"/>
      <c r="E555" s="2"/>
      <c r="F555" s="2"/>
      <c r="G555" s="2"/>
      <c r="H555" s="23"/>
      <c r="I555" s="23"/>
      <c r="J555" s="23" t="str">
        <f aca="false">IF(C555="","",IF(OR(C555="Purchase",C555="Fee",C555="Withdrawal"),-(H555+I555),H555-I555))</f>
        <v/>
      </c>
      <c r="K555" s="2"/>
      <c r="L555" s="2"/>
      <c r="M555" s="2"/>
    </row>
    <row r="556" customFormat="false" ht="15" hidden="false" customHeight="false" outlineLevel="0" collapsed="false">
      <c r="A556" s="2"/>
      <c r="B556" s="11"/>
      <c r="C556" s="2"/>
      <c r="D556" s="2"/>
      <c r="E556" s="2"/>
      <c r="F556" s="2"/>
      <c r="G556" s="2"/>
      <c r="H556" s="23"/>
      <c r="I556" s="23"/>
      <c r="J556" s="23" t="str">
        <f aca="false">IF(C556="","",IF(OR(C556="Purchase",C556="Fee",C556="Withdrawal"),-(H556+I556),H556-I556))</f>
        <v/>
      </c>
      <c r="K556" s="2"/>
      <c r="L556" s="2"/>
      <c r="M556" s="2"/>
    </row>
    <row r="557" customFormat="false" ht="15" hidden="false" customHeight="false" outlineLevel="0" collapsed="false">
      <c r="A557" s="2"/>
      <c r="B557" s="11"/>
      <c r="C557" s="2"/>
      <c r="D557" s="2"/>
      <c r="E557" s="2"/>
      <c r="F557" s="2"/>
      <c r="G557" s="2"/>
      <c r="H557" s="23"/>
      <c r="I557" s="23"/>
      <c r="J557" s="23" t="str">
        <f aca="false">IF(C557="","",IF(OR(C557="Purchase",C557="Fee",C557="Withdrawal"),-(H557+I557),H557-I557))</f>
        <v/>
      </c>
      <c r="K557" s="2"/>
      <c r="L557" s="2"/>
      <c r="M557" s="2"/>
    </row>
    <row r="558" customFormat="false" ht="15" hidden="false" customHeight="false" outlineLevel="0" collapsed="false">
      <c r="A558" s="2"/>
      <c r="B558" s="11"/>
      <c r="C558" s="2"/>
      <c r="D558" s="2"/>
      <c r="E558" s="2"/>
      <c r="F558" s="2"/>
      <c r="G558" s="2"/>
      <c r="H558" s="23"/>
      <c r="I558" s="23"/>
      <c r="J558" s="23" t="str">
        <f aca="false">IF(C558="","",IF(OR(C558="Purchase",C558="Fee",C558="Withdrawal"),-(H558+I558),H558-I558))</f>
        <v/>
      </c>
      <c r="K558" s="2"/>
      <c r="L558" s="2"/>
      <c r="M558" s="2"/>
    </row>
    <row r="559" customFormat="false" ht="15" hidden="false" customHeight="false" outlineLevel="0" collapsed="false">
      <c r="A559" s="2"/>
      <c r="B559" s="11"/>
      <c r="C559" s="2"/>
      <c r="D559" s="2"/>
      <c r="E559" s="2"/>
      <c r="F559" s="2"/>
      <c r="G559" s="2"/>
      <c r="H559" s="23"/>
      <c r="I559" s="23"/>
      <c r="J559" s="23" t="str">
        <f aca="false">IF(C559="","",IF(OR(C559="Purchase",C559="Fee",C559="Withdrawal"),-(H559+I559),H559-I559))</f>
        <v/>
      </c>
      <c r="K559" s="2"/>
      <c r="L559" s="2"/>
      <c r="M559" s="2"/>
    </row>
    <row r="560" customFormat="false" ht="15" hidden="false" customHeight="false" outlineLevel="0" collapsed="false">
      <c r="A560" s="2"/>
      <c r="B560" s="11"/>
      <c r="C560" s="2"/>
      <c r="D560" s="2"/>
      <c r="E560" s="2"/>
      <c r="F560" s="2"/>
      <c r="G560" s="2"/>
      <c r="H560" s="23"/>
      <c r="I560" s="23"/>
      <c r="J560" s="23" t="str">
        <f aca="false">IF(C560="","",IF(OR(C560="Purchase",C560="Fee",C560="Withdrawal"),-(H560+I560),H560-I560))</f>
        <v/>
      </c>
      <c r="K560" s="2"/>
      <c r="L560" s="2"/>
      <c r="M560" s="2"/>
    </row>
    <row r="561" customFormat="false" ht="15" hidden="false" customHeight="false" outlineLevel="0" collapsed="false">
      <c r="A561" s="2"/>
      <c r="B561" s="11"/>
      <c r="C561" s="2"/>
      <c r="D561" s="2"/>
      <c r="E561" s="2"/>
      <c r="F561" s="2"/>
      <c r="G561" s="2"/>
      <c r="H561" s="23"/>
      <c r="I561" s="23"/>
      <c r="J561" s="23" t="str">
        <f aca="false">IF(C561="","",IF(OR(C561="Purchase",C561="Fee",C561="Withdrawal"),-(H561+I561),H561-I561))</f>
        <v/>
      </c>
      <c r="K561" s="2"/>
      <c r="L561" s="2"/>
      <c r="M561" s="2"/>
    </row>
    <row r="562" customFormat="false" ht="15" hidden="false" customHeight="false" outlineLevel="0" collapsed="false">
      <c r="A562" s="2"/>
      <c r="B562" s="11"/>
      <c r="C562" s="2"/>
      <c r="D562" s="2"/>
      <c r="E562" s="2"/>
      <c r="F562" s="2"/>
      <c r="G562" s="2"/>
      <c r="H562" s="23"/>
      <c r="I562" s="23"/>
      <c r="J562" s="23" t="str">
        <f aca="false">IF(C562="","",IF(OR(C562="Purchase",C562="Fee",C562="Withdrawal"),-(H562+I562),H562-I562))</f>
        <v/>
      </c>
      <c r="K562" s="2"/>
      <c r="L562" s="2"/>
      <c r="M562" s="2"/>
    </row>
    <row r="563" customFormat="false" ht="15" hidden="false" customHeight="false" outlineLevel="0" collapsed="false">
      <c r="A563" s="2"/>
      <c r="B563" s="11"/>
      <c r="C563" s="2"/>
      <c r="D563" s="2"/>
      <c r="E563" s="2"/>
      <c r="F563" s="2"/>
      <c r="G563" s="2"/>
      <c r="H563" s="23"/>
      <c r="I563" s="23"/>
      <c r="J563" s="23" t="str">
        <f aca="false">IF(C563="","",IF(OR(C563="Purchase",C563="Fee",C563="Withdrawal"),-(H563+I563),H563-I563))</f>
        <v/>
      </c>
      <c r="K563" s="2"/>
      <c r="L563" s="2"/>
      <c r="M563" s="2"/>
    </row>
    <row r="564" customFormat="false" ht="15" hidden="false" customHeight="false" outlineLevel="0" collapsed="false">
      <c r="A564" s="2"/>
      <c r="B564" s="11"/>
      <c r="C564" s="2"/>
      <c r="D564" s="2"/>
      <c r="E564" s="2"/>
      <c r="F564" s="2"/>
      <c r="G564" s="2"/>
      <c r="H564" s="23"/>
      <c r="I564" s="23"/>
      <c r="J564" s="23" t="str">
        <f aca="false">IF(C564="","",IF(OR(C564="Purchase",C564="Fee",C564="Withdrawal"),-(H564+I564),H564-I564))</f>
        <v/>
      </c>
      <c r="K564" s="2"/>
      <c r="L564" s="2"/>
      <c r="M564" s="2"/>
    </row>
    <row r="565" customFormat="false" ht="15" hidden="false" customHeight="false" outlineLevel="0" collapsed="false">
      <c r="A565" s="2"/>
      <c r="B565" s="11"/>
      <c r="C565" s="2"/>
      <c r="D565" s="2"/>
      <c r="E565" s="2"/>
      <c r="F565" s="2"/>
      <c r="G565" s="2"/>
      <c r="H565" s="23"/>
      <c r="I565" s="23"/>
      <c r="J565" s="23" t="str">
        <f aca="false">IF(C565="","",IF(OR(C565="Purchase",C565="Fee",C565="Withdrawal"),-(H565+I565),H565-I565))</f>
        <v/>
      </c>
      <c r="K565" s="2"/>
      <c r="L565" s="2"/>
      <c r="M565" s="2"/>
    </row>
    <row r="566" customFormat="false" ht="15" hidden="false" customHeight="false" outlineLevel="0" collapsed="false">
      <c r="A566" s="2"/>
      <c r="B566" s="11"/>
      <c r="C566" s="2"/>
      <c r="D566" s="2"/>
      <c r="E566" s="2"/>
      <c r="F566" s="2"/>
      <c r="G566" s="2"/>
      <c r="H566" s="23"/>
      <c r="I566" s="23"/>
      <c r="J566" s="23" t="str">
        <f aca="false">IF(C566="","",IF(OR(C566="Purchase",C566="Fee",C566="Withdrawal"),-(H566+I566),H566-I566))</f>
        <v/>
      </c>
      <c r="K566" s="2"/>
      <c r="L566" s="2"/>
      <c r="M566" s="2"/>
    </row>
    <row r="567" customFormat="false" ht="15" hidden="false" customHeight="false" outlineLevel="0" collapsed="false">
      <c r="A567" s="2"/>
      <c r="B567" s="11"/>
      <c r="C567" s="2"/>
      <c r="D567" s="2"/>
      <c r="E567" s="2"/>
      <c r="F567" s="2"/>
      <c r="G567" s="2"/>
      <c r="H567" s="23"/>
      <c r="I567" s="23"/>
      <c r="J567" s="23" t="str">
        <f aca="false">IF(C567="","",IF(OR(C567="Purchase",C567="Fee",C567="Withdrawal"),-(H567+I567),H567-I567))</f>
        <v/>
      </c>
      <c r="K567" s="2"/>
      <c r="L567" s="2"/>
      <c r="M567" s="2"/>
    </row>
    <row r="568" customFormat="false" ht="15" hidden="false" customHeight="false" outlineLevel="0" collapsed="false">
      <c r="A568" s="2"/>
      <c r="B568" s="11"/>
      <c r="C568" s="2"/>
      <c r="D568" s="2"/>
      <c r="E568" s="2"/>
      <c r="F568" s="2"/>
      <c r="G568" s="2"/>
      <c r="H568" s="23"/>
      <c r="I568" s="23"/>
      <c r="J568" s="23" t="str">
        <f aca="false">IF(C568="","",IF(OR(C568="Purchase",C568="Fee",C568="Withdrawal"),-(H568+I568),H568-I568))</f>
        <v/>
      </c>
      <c r="K568" s="2"/>
      <c r="L568" s="2"/>
      <c r="M568" s="2"/>
    </row>
    <row r="569" customFormat="false" ht="15" hidden="false" customHeight="false" outlineLevel="0" collapsed="false">
      <c r="A569" s="2"/>
      <c r="B569" s="11"/>
      <c r="C569" s="2"/>
      <c r="D569" s="2"/>
      <c r="E569" s="2"/>
      <c r="F569" s="2"/>
      <c r="G569" s="2"/>
      <c r="H569" s="23"/>
      <c r="I569" s="23"/>
      <c r="J569" s="23" t="str">
        <f aca="false">IF(C569="","",IF(OR(C569="Purchase",C569="Fee",C569="Withdrawal"),-(H569+I569),H569-I569))</f>
        <v/>
      </c>
      <c r="K569" s="2"/>
      <c r="L569" s="2"/>
      <c r="M569" s="2"/>
    </row>
    <row r="570" customFormat="false" ht="15" hidden="false" customHeight="false" outlineLevel="0" collapsed="false">
      <c r="A570" s="2"/>
      <c r="B570" s="11"/>
      <c r="C570" s="2"/>
      <c r="D570" s="2"/>
      <c r="E570" s="2"/>
      <c r="F570" s="2"/>
      <c r="G570" s="2"/>
      <c r="H570" s="23"/>
      <c r="I570" s="23"/>
      <c r="J570" s="23" t="str">
        <f aca="false">IF(C570="","",IF(OR(C570="Purchase",C570="Fee",C570="Withdrawal"),-(H570+I570),H570-I570))</f>
        <v/>
      </c>
      <c r="K570" s="2"/>
      <c r="L570" s="2"/>
      <c r="M570" s="2"/>
    </row>
    <row r="571" customFormat="false" ht="15" hidden="false" customHeight="false" outlineLevel="0" collapsed="false">
      <c r="A571" s="2"/>
      <c r="B571" s="11"/>
      <c r="C571" s="2"/>
      <c r="D571" s="2"/>
      <c r="E571" s="2"/>
      <c r="F571" s="2"/>
      <c r="G571" s="2"/>
      <c r="H571" s="23"/>
      <c r="I571" s="23"/>
      <c r="J571" s="23" t="str">
        <f aca="false">IF(C571="","",IF(OR(C571="Purchase",C571="Fee",C571="Withdrawal"),-(H571+I571),H571-I571))</f>
        <v/>
      </c>
      <c r="K571" s="2"/>
      <c r="L571" s="2"/>
      <c r="M571" s="2"/>
    </row>
    <row r="572" customFormat="false" ht="15" hidden="false" customHeight="false" outlineLevel="0" collapsed="false">
      <c r="A572" s="2"/>
      <c r="B572" s="11"/>
      <c r="C572" s="2"/>
      <c r="D572" s="2"/>
      <c r="E572" s="2"/>
      <c r="F572" s="2"/>
      <c r="G572" s="2"/>
      <c r="H572" s="23"/>
      <c r="I572" s="23"/>
      <c r="J572" s="23" t="str">
        <f aca="false">IF(C572="","",IF(OR(C572="Purchase",C572="Fee",C572="Withdrawal"),-(H572+I572),H572-I572))</f>
        <v/>
      </c>
      <c r="K572" s="2"/>
      <c r="L572" s="2"/>
      <c r="M572" s="2"/>
    </row>
    <row r="573" customFormat="false" ht="15" hidden="false" customHeight="false" outlineLevel="0" collapsed="false">
      <c r="A573" s="2"/>
      <c r="B573" s="11"/>
      <c r="C573" s="2"/>
      <c r="D573" s="2"/>
      <c r="E573" s="2"/>
      <c r="F573" s="2"/>
      <c r="G573" s="2"/>
      <c r="H573" s="23"/>
      <c r="I573" s="23"/>
      <c r="J573" s="23" t="str">
        <f aca="false">IF(C573="","",IF(OR(C573="Purchase",C573="Fee",C573="Withdrawal"),-(H573+I573),H573-I573))</f>
        <v/>
      </c>
      <c r="K573" s="2"/>
      <c r="L573" s="2"/>
      <c r="M573" s="2"/>
    </row>
    <row r="574" customFormat="false" ht="15" hidden="false" customHeight="false" outlineLevel="0" collapsed="false">
      <c r="A574" s="2"/>
      <c r="B574" s="11"/>
      <c r="C574" s="2"/>
      <c r="D574" s="2"/>
      <c r="E574" s="2"/>
      <c r="F574" s="2"/>
      <c r="G574" s="2"/>
      <c r="H574" s="23"/>
      <c r="I574" s="23"/>
      <c r="J574" s="23" t="str">
        <f aca="false">IF(C574="","",IF(OR(C574="Purchase",C574="Fee",C574="Withdrawal"),-(H574+I574),H574-I574))</f>
        <v/>
      </c>
      <c r="K574" s="2"/>
      <c r="L574" s="2"/>
      <c r="M574" s="2"/>
    </row>
    <row r="575" customFormat="false" ht="15" hidden="false" customHeight="false" outlineLevel="0" collapsed="false">
      <c r="A575" s="2"/>
      <c r="B575" s="11"/>
      <c r="C575" s="2"/>
      <c r="D575" s="2"/>
      <c r="E575" s="2"/>
      <c r="F575" s="2"/>
      <c r="G575" s="2"/>
      <c r="H575" s="23"/>
      <c r="I575" s="23"/>
      <c r="J575" s="23" t="str">
        <f aca="false">IF(C575="","",IF(OR(C575="Purchase",C575="Fee",C575="Withdrawal"),-(H575+I575),H575-I575))</f>
        <v/>
      </c>
      <c r="K575" s="2"/>
      <c r="L575" s="2"/>
      <c r="M575" s="2"/>
    </row>
    <row r="576" customFormat="false" ht="15" hidden="false" customHeight="false" outlineLevel="0" collapsed="false">
      <c r="A576" s="2"/>
      <c r="B576" s="11"/>
      <c r="C576" s="2"/>
      <c r="D576" s="2"/>
      <c r="E576" s="2"/>
      <c r="F576" s="2"/>
      <c r="G576" s="2"/>
      <c r="H576" s="23"/>
      <c r="I576" s="23"/>
      <c r="J576" s="23" t="str">
        <f aca="false">IF(C576="","",IF(OR(C576="Purchase",C576="Fee",C576="Withdrawal"),-(H576+I576),H576-I576))</f>
        <v/>
      </c>
      <c r="K576" s="2"/>
      <c r="L576" s="2"/>
      <c r="M576" s="2"/>
    </row>
    <row r="577" customFormat="false" ht="15" hidden="false" customHeight="false" outlineLevel="0" collapsed="false">
      <c r="A577" s="2"/>
      <c r="B577" s="11"/>
      <c r="C577" s="2"/>
      <c r="D577" s="2"/>
      <c r="E577" s="2"/>
      <c r="F577" s="2"/>
      <c r="G577" s="2"/>
      <c r="H577" s="23"/>
      <c r="I577" s="23"/>
      <c r="J577" s="23" t="str">
        <f aca="false">IF(C577="","",IF(OR(C577="Purchase",C577="Fee",C577="Withdrawal"),-(H577+I577),H577-I577))</f>
        <v/>
      </c>
      <c r="K577" s="2"/>
      <c r="L577" s="2"/>
      <c r="M577" s="2"/>
    </row>
    <row r="578" customFormat="false" ht="15" hidden="false" customHeight="false" outlineLevel="0" collapsed="false">
      <c r="A578" s="2"/>
      <c r="B578" s="11"/>
      <c r="C578" s="2"/>
      <c r="D578" s="2"/>
      <c r="E578" s="2"/>
      <c r="F578" s="2"/>
      <c r="G578" s="2"/>
      <c r="H578" s="23"/>
      <c r="I578" s="23"/>
      <c r="J578" s="23" t="str">
        <f aca="false">IF(C578="","",IF(OR(C578="Purchase",C578="Fee",C578="Withdrawal"),-(H578+I578),H578-I578))</f>
        <v/>
      </c>
      <c r="K578" s="2"/>
      <c r="L578" s="2"/>
      <c r="M578" s="2"/>
    </row>
    <row r="579" customFormat="false" ht="15" hidden="false" customHeight="false" outlineLevel="0" collapsed="false">
      <c r="A579" s="2"/>
      <c r="B579" s="11"/>
      <c r="C579" s="2"/>
      <c r="D579" s="2"/>
      <c r="E579" s="2"/>
      <c r="F579" s="2"/>
      <c r="G579" s="2"/>
      <c r="H579" s="23"/>
      <c r="I579" s="23"/>
      <c r="J579" s="23" t="str">
        <f aca="false">IF(C579="","",IF(OR(C579="Purchase",C579="Fee",C579="Withdrawal"),-(H579+I579),H579-I579))</f>
        <v/>
      </c>
      <c r="K579" s="2"/>
      <c r="L579" s="2"/>
      <c r="M579" s="2"/>
    </row>
    <row r="580" customFormat="false" ht="15" hidden="false" customHeight="false" outlineLevel="0" collapsed="false">
      <c r="A580" s="2"/>
      <c r="B580" s="11"/>
      <c r="C580" s="2"/>
      <c r="D580" s="2"/>
      <c r="E580" s="2"/>
      <c r="F580" s="2"/>
      <c r="G580" s="2"/>
      <c r="H580" s="23"/>
      <c r="I580" s="23"/>
      <c r="J580" s="23" t="str">
        <f aca="false">IF(C580="","",IF(OR(C580="Purchase",C580="Fee",C580="Withdrawal"),-(H580+I580),H580-I580))</f>
        <v/>
      </c>
      <c r="K580" s="2"/>
      <c r="L580" s="2"/>
      <c r="M580" s="2"/>
    </row>
    <row r="581" customFormat="false" ht="15" hidden="false" customHeight="false" outlineLevel="0" collapsed="false">
      <c r="A581" s="2"/>
      <c r="B581" s="11"/>
      <c r="C581" s="2"/>
      <c r="D581" s="2"/>
      <c r="E581" s="2"/>
      <c r="F581" s="2"/>
      <c r="G581" s="2"/>
      <c r="H581" s="23"/>
      <c r="I581" s="23"/>
      <c r="J581" s="23" t="str">
        <f aca="false">IF(C581="","",IF(OR(C581="Purchase",C581="Fee",C581="Withdrawal"),-(H581+I581),H581-I581))</f>
        <v/>
      </c>
      <c r="K581" s="2"/>
      <c r="L581" s="2"/>
      <c r="M581" s="2"/>
    </row>
    <row r="582" customFormat="false" ht="15" hidden="false" customHeight="false" outlineLevel="0" collapsed="false">
      <c r="A582" s="2"/>
      <c r="B582" s="11"/>
      <c r="C582" s="2"/>
      <c r="D582" s="2"/>
      <c r="E582" s="2"/>
      <c r="F582" s="2"/>
      <c r="G582" s="2"/>
      <c r="H582" s="23"/>
      <c r="I582" s="23"/>
      <c r="J582" s="23" t="str">
        <f aca="false">IF(C582="","",IF(OR(C582="Purchase",C582="Fee",C582="Withdrawal"),-(H582+I582),H582-I582))</f>
        <v/>
      </c>
      <c r="K582" s="2"/>
      <c r="L582" s="2"/>
      <c r="M582" s="2"/>
    </row>
    <row r="583" customFormat="false" ht="15" hidden="false" customHeight="false" outlineLevel="0" collapsed="false">
      <c r="A583" s="2"/>
      <c r="B583" s="11"/>
      <c r="C583" s="2"/>
      <c r="D583" s="2"/>
      <c r="E583" s="2"/>
      <c r="F583" s="2"/>
      <c r="G583" s="2"/>
      <c r="H583" s="23"/>
      <c r="I583" s="23"/>
      <c r="J583" s="23" t="str">
        <f aca="false">IF(C583="","",IF(OR(C583="Purchase",C583="Fee",C583="Withdrawal"),-(H583+I583),H583-I583))</f>
        <v/>
      </c>
      <c r="K583" s="2"/>
      <c r="L583" s="2"/>
      <c r="M583" s="2"/>
    </row>
    <row r="584" customFormat="false" ht="15" hidden="false" customHeight="false" outlineLevel="0" collapsed="false">
      <c r="A584" s="2"/>
      <c r="B584" s="11"/>
      <c r="C584" s="2"/>
      <c r="D584" s="2"/>
      <c r="E584" s="2"/>
      <c r="F584" s="2"/>
      <c r="G584" s="2"/>
      <c r="H584" s="23"/>
      <c r="I584" s="23"/>
      <c r="J584" s="23" t="str">
        <f aca="false">IF(C584="","",IF(OR(C584="Purchase",C584="Fee",C584="Withdrawal"),-(H584+I584),H584-I584))</f>
        <v/>
      </c>
      <c r="K584" s="2"/>
      <c r="L584" s="2"/>
      <c r="M584" s="2"/>
    </row>
    <row r="585" customFormat="false" ht="15" hidden="false" customHeight="false" outlineLevel="0" collapsed="false">
      <c r="A585" s="2"/>
      <c r="B585" s="11"/>
      <c r="C585" s="2"/>
      <c r="D585" s="2"/>
      <c r="E585" s="2"/>
      <c r="F585" s="2"/>
      <c r="G585" s="2"/>
      <c r="H585" s="23"/>
      <c r="I585" s="23"/>
      <c r="J585" s="23" t="str">
        <f aca="false">IF(C585="","",IF(OR(C585="Purchase",C585="Fee",C585="Withdrawal"),-(H585+I585),H585-I585))</f>
        <v/>
      </c>
      <c r="K585" s="2"/>
      <c r="L585" s="2"/>
      <c r="M585" s="2"/>
    </row>
    <row r="586" customFormat="false" ht="15" hidden="false" customHeight="false" outlineLevel="0" collapsed="false">
      <c r="A586" s="2"/>
      <c r="B586" s="11"/>
      <c r="C586" s="2"/>
      <c r="D586" s="2"/>
      <c r="E586" s="2"/>
      <c r="F586" s="2"/>
      <c r="G586" s="2"/>
      <c r="H586" s="23"/>
      <c r="I586" s="23"/>
      <c r="J586" s="23" t="str">
        <f aca="false">IF(C586="","",IF(OR(C586="Purchase",C586="Fee",C586="Withdrawal"),-(H586+I586),H586-I586))</f>
        <v/>
      </c>
      <c r="K586" s="2"/>
      <c r="L586" s="2"/>
      <c r="M586" s="2"/>
    </row>
    <row r="587" customFormat="false" ht="15" hidden="false" customHeight="false" outlineLevel="0" collapsed="false">
      <c r="A587" s="2"/>
      <c r="B587" s="11"/>
      <c r="C587" s="2"/>
      <c r="D587" s="2"/>
      <c r="E587" s="2"/>
      <c r="F587" s="2"/>
      <c r="G587" s="2"/>
      <c r="H587" s="23"/>
      <c r="I587" s="23"/>
      <c r="J587" s="23" t="str">
        <f aca="false">IF(C587="","",IF(OR(C587="Purchase",C587="Fee",C587="Withdrawal"),-(H587+I587),H587-I587))</f>
        <v/>
      </c>
      <c r="K587" s="2"/>
      <c r="L587" s="2"/>
      <c r="M587" s="2"/>
    </row>
    <row r="588" customFormat="false" ht="15" hidden="false" customHeight="false" outlineLevel="0" collapsed="false">
      <c r="A588" s="2"/>
      <c r="B588" s="11"/>
      <c r="C588" s="2"/>
      <c r="D588" s="2"/>
      <c r="E588" s="2"/>
      <c r="F588" s="2"/>
      <c r="G588" s="2"/>
      <c r="H588" s="23"/>
      <c r="I588" s="23"/>
      <c r="J588" s="23" t="str">
        <f aca="false">IF(C588="","",IF(OR(C588="Purchase",C588="Fee",C588="Withdrawal"),-(H588+I588),H588-I588))</f>
        <v/>
      </c>
      <c r="K588" s="2"/>
      <c r="L588" s="2"/>
      <c r="M588" s="2"/>
    </row>
    <row r="589" customFormat="false" ht="15" hidden="false" customHeight="false" outlineLevel="0" collapsed="false">
      <c r="A589" s="2"/>
      <c r="B589" s="11"/>
      <c r="C589" s="2"/>
      <c r="D589" s="2"/>
      <c r="E589" s="2"/>
      <c r="F589" s="2"/>
      <c r="G589" s="2"/>
      <c r="H589" s="23"/>
      <c r="I589" s="23"/>
      <c r="J589" s="23" t="str">
        <f aca="false">IF(C589="","",IF(OR(C589="Purchase",C589="Fee",C589="Withdrawal"),-(H589+I589),H589-I589))</f>
        <v/>
      </c>
      <c r="K589" s="2"/>
      <c r="L589" s="2"/>
      <c r="M589" s="2"/>
    </row>
    <row r="590" customFormat="false" ht="15" hidden="false" customHeight="false" outlineLevel="0" collapsed="false">
      <c r="A590" s="2"/>
      <c r="B590" s="11"/>
      <c r="C590" s="2"/>
      <c r="D590" s="2"/>
      <c r="E590" s="2"/>
      <c r="F590" s="2"/>
      <c r="G590" s="2"/>
      <c r="H590" s="23"/>
      <c r="I590" s="23"/>
      <c r="J590" s="23" t="str">
        <f aca="false">IF(C590="","",IF(OR(C590="Purchase",C590="Fee",C590="Withdrawal"),-(H590+I590),H590-I590))</f>
        <v/>
      </c>
      <c r="K590" s="2"/>
      <c r="L590" s="2"/>
      <c r="M590" s="2"/>
    </row>
    <row r="591" customFormat="false" ht="15" hidden="false" customHeight="false" outlineLevel="0" collapsed="false">
      <c r="A591" s="2"/>
      <c r="B591" s="11"/>
      <c r="C591" s="2"/>
      <c r="D591" s="2"/>
      <c r="E591" s="2"/>
      <c r="F591" s="2"/>
      <c r="G591" s="2"/>
      <c r="H591" s="23"/>
      <c r="I591" s="23"/>
      <c r="J591" s="23" t="str">
        <f aca="false">IF(C591="","",IF(OR(C591="Purchase",C591="Fee",C591="Withdrawal"),-(H591+I591),H591-I591))</f>
        <v/>
      </c>
      <c r="K591" s="2"/>
      <c r="L591" s="2"/>
      <c r="M591" s="2"/>
    </row>
    <row r="592" customFormat="false" ht="15" hidden="false" customHeight="false" outlineLevel="0" collapsed="false">
      <c r="A592" s="2"/>
      <c r="B592" s="11"/>
      <c r="C592" s="2"/>
      <c r="D592" s="2"/>
      <c r="E592" s="2"/>
      <c r="F592" s="2"/>
      <c r="G592" s="2"/>
      <c r="H592" s="23"/>
      <c r="I592" s="23"/>
      <c r="J592" s="23" t="str">
        <f aca="false">IF(C592="","",IF(OR(C592="Purchase",C592="Fee",C592="Withdrawal"),-(H592+I592),H592-I592))</f>
        <v/>
      </c>
      <c r="K592" s="2"/>
      <c r="L592" s="2"/>
      <c r="M592" s="2"/>
    </row>
    <row r="593" customFormat="false" ht="15" hidden="false" customHeight="false" outlineLevel="0" collapsed="false">
      <c r="A593" s="2"/>
      <c r="B593" s="11"/>
      <c r="C593" s="2"/>
      <c r="D593" s="2"/>
      <c r="E593" s="2"/>
      <c r="F593" s="2"/>
      <c r="G593" s="2"/>
      <c r="H593" s="23"/>
      <c r="I593" s="23"/>
      <c r="J593" s="23" t="str">
        <f aca="false">IF(C593="","",IF(OR(C593="Purchase",C593="Fee",C593="Withdrawal"),-(H593+I593),H593-I593))</f>
        <v/>
      </c>
      <c r="K593" s="2"/>
      <c r="L593" s="2"/>
      <c r="M593" s="2"/>
    </row>
    <row r="594" customFormat="false" ht="15" hidden="false" customHeight="false" outlineLevel="0" collapsed="false">
      <c r="A594" s="2"/>
      <c r="B594" s="11"/>
      <c r="C594" s="2"/>
      <c r="D594" s="2"/>
      <c r="E594" s="2"/>
      <c r="F594" s="2"/>
      <c r="G594" s="2"/>
      <c r="H594" s="23"/>
      <c r="I594" s="23"/>
      <c r="J594" s="23" t="str">
        <f aca="false">IF(C594="","",IF(OR(C594="Purchase",C594="Fee",C594="Withdrawal"),-(H594+I594),H594-I594))</f>
        <v/>
      </c>
      <c r="K594" s="2"/>
      <c r="L594" s="2"/>
      <c r="M594" s="2"/>
    </row>
    <row r="595" customFormat="false" ht="15" hidden="false" customHeight="false" outlineLevel="0" collapsed="false">
      <c r="A595" s="2"/>
      <c r="B595" s="11"/>
      <c r="C595" s="2"/>
      <c r="D595" s="2"/>
      <c r="E595" s="2"/>
      <c r="F595" s="2"/>
      <c r="G595" s="2"/>
      <c r="H595" s="23"/>
      <c r="I595" s="23"/>
      <c r="J595" s="23" t="str">
        <f aca="false">IF(C595="","",IF(OR(C595="Purchase",C595="Fee",C595="Withdrawal"),-(H595+I595),H595-I595))</f>
        <v/>
      </c>
      <c r="K595" s="2"/>
      <c r="L595" s="2"/>
      <c r="M595" s="2"/>
    </row>
    <row r="596" customFormat="false" ht="15" hidden="false" customHeight="false" outlineLevel="0" collapsed="false">
      <c r="A596" s="2"/>
      <c r="B596" s="11"/>
      <c r="C596" s="2"/>
      <c r="D596" s="2"/>
      <c r="E596" s="2"/>
      <c r="F596" s="2"/>
      <c r="G596" s="2"/>
      <c r="H596" s="23"/>
      <c r="I596" s="23"/>
      <c r="J596" s="23" t="str">
        <f aca="false">IF(C596="","",IF(OR(C596="Purchase",C596="Fee",C596="Withdrawal"),-(H596+I596),H596-I596))</f>
        <v/>
      </c>
      <c r="K596" s="2"/>
      <c r="L596" s="2"/>
      <c r="M596" s="2"/>
    </row>
    <row r="597" customFormat="false" ht="15" hidden="false" customHeight="false" outlineLevel="0" collapsed="false">
      <c r="A597" s="2"/>
      <c r="B597" s="11"/>
      <c r="C597" s="2"/>
      <c r="D597" s="2"/>
      <c r="E597" s="2"/>
      <c r="F597" s="2"/>
      <c r="G597" s="2"/>
      <c r="H597" s="23"/>
      <c r="I597" s="23"/>
      <c r="J597" s="23" t="str">
        <f aca="false">IF(C597="","",IF(OR(C597="Purchase",C597="Fee",C597="Withdrawal"),-(H597+I597),H597-I597))</f>
        <v/>
      </c>
      <c r="K597" s="2"/>
      <c r="L597" s="2"/>
      <c r="M597" s="2"/>
    </row>
    <row r="598" customFormat="false" ht="15" hidden="false" customHeight="false" outlineLevel="0" collapsed="false">
      <c r="A598" s="2"/>
      <c r="B598" s="11"/>
      <c r="C598" s="2"/>
      <c r="D598" s="2"/>
      <c r="E598" s="2"/>
      <c r="F598" s="2"/>
      <c r="G598" s="2"/>
      <c r="H598" s="23"/>
      <c r="I598" s="23"/>
      <c r="J598" s="23" t="str">
        <f aca="false">IF(C598="","",IF(OR(C598="Purchase",C598="Fee",C598="Withdrawal"),-(H598+I598),H598-I598))</f>
        <v/>
      </c>
      <c r="K598" s="2"/>
      <c r="L598" s="2"/>
      <c r="M598" s="2"/>
    </row>
    <row r="599" customFormat="false" ht="15" hidden="false" customHeight="false" outlineLevel="0" collapsed="false">
      <c r="A599" s="2"/>
      <c r="B599" s="11"/>
      <c r="C599" s="2"/>
      <c r="D599" s="2"/>
      <c r="E599" s="2"/>
      <c r="F599" s="2"/>
      <c r="G599" s="2"/>
      <c r="H599" s="23"/>
      <c r="I599" s="23"/>
      <c r="J599" s="23" t="str">
        <f aca="false">IF(C599="","",IF(OR(C599="Purchase",C599="Fee",C599="Withdrawal"),-(H599+I599),H599-I599))</f>
        <v/>
      </c>
      <c r="K599" s="2"/>
      <c r="L599" s="2"/>
      <c r="M599" s="2"/>
    </row>
    <row r="600" customFormat="false" ht="15" hidden="false" customHeight="false" outlineLevel="0" collapsed="false">
      <c r="A600" s="2"/>
      <c r="B600" s="11"/>
      <c r="C600" s="2"/>
      <c r="D600" s="2"/>
      <c r="E600" s="2"/>
      <c r="F600" s="2"/>
      <c r="G600" s="2"/>
      <c r="H600" s="23"/>
      <c r="I600" s="23"/>
      <c r="J600" s="23" t="str">
        <f aca="false">IF(C600="","",IF(OR(C600="Purchase",C600="Fee",C600="Withdrawal"),-(H600+I600),H600-I600))</f>
        <v/>
      </c>
      <c r="K600" s="2"/>
      <c r="L600" s="2"/>
      <c r="M600" s="2"/>
    </row>
    <row r="601" customFormat="false" ht="15" hidden="false" customHeight="false" outlineLevel="0" collapsed="false">
      <c r="A601" s="2"/>
      <c r="B601" s="11"/>
      <c r="C601" s="2"/>
      <c r="D601" s="2"/>
      <c r="E601" s="2"/>
      <c r="F601" s="2"/>
      <c r="G601" s="2"/>
      <c r="H601" s="23"/>
      <c r="I601" s="23"/>
      <c r="J601" s="23" t="str">
        <f aca="false">IF(C601="","",IF(OR(C601="Purchase",C601="Fee",C601="Withdrawal"),-(H601+I601),H601-I601))</f>
        <v/>
      </c>
      <c r="K601" s="2"/>
      <c r="L601" s="2"/>
      <c r="M601" s="2"/>
    </row>
    <row r="602" customFormat="false" ht="15" hidden="false" customHeight="false" outlineLevel="0" collapsed="false">
      <c r="A602" s="2"/>
      <c r="B602" s="11"/>
      <c r="C602" s="2"/>
      <c r="D602" s="2"/>
      <c r="E602" s="2"/>
      <c r="F602" s="2"/>
      <c r="G602" s="2"/>
      <c r="H602" s="23"/>
      <c r="I602" s="23"/>
      <c r="J602" s="23" t="str">
        <f aca="false">IF(C602="","",IF(OR(C602="Purchase",C602="Fee",C602="Withdrawal"),-(H602+I602),H602-I602))</f>
        <v/>
      </c>
      <c r="K602" s="2"/>
      <c r="L602" s="2"/>
      <c r="M602" s="2"/>
    </row>
    <row r="603" customFormat="false" ht="15" hidden="false" customHeight="false" outlineLevel="0" collapsed="false">
      <c r="A603" s="2"/>
      <c r="B603" s="11"/>
      <c r="C603" s="2"/>
      <c r="D603" s="2"/>
      <c r="E603" s="2"/>
      <c r="F603" s="2"/>
      <c r="G603" s="2"/>
      <c r="H603" s="23"/>
      <c r="I603" s="23"/>
      <c r="J603" s="23" t="str">
        <f aca="false">IF(C603="","",IF(OR(C603="Purchase",C603="Fee",C603="Withdrawal"),-(H603+I603),H603-I603))</f>
        <v/>
      </c>
      <c r="K603" s="2"/>
      <c r="L603" s="2"/>
      <c r="M603" s="2"/>
    </row>
    <row r="604" customFormat="false" ht="15" hidden="false" customHeight="false" outlineLevel="0" collapsed="false">
      <c r="A604" s="2"/>
      <c r="B604" s="11"/>
      <c r="C604" s="2"/>
      <c r="D604" s="2"/>
      <c r="E604" s="2"/>
      <c r="F604" s="2"/>
      <c r="G604" s="2"/>
      <c r="H604" s="23"/>
      <c r="I604" s="23"/>
      <c r="J604" s="23" t="str">
        <f aca="false">IF(C604="","",IF(OR(C604="Purchase",C604="Fee",C604="Withdrawal"),-(H604+I604),H604-I604))</f>
        <v/>
      </c>
      <c r="K604" s="2"/>
      <c r="L604" s="2"/>
      <c r="M604" s="2"/>
    </row>
    <row r="605" customFormat="false" ht="15" hidden="false" customHeight="false" outlineLevel="0" collapsed="false">
      <c r="A605" s="2"/>
      <c r="B605" s="11"/>
      <c r="C605" s="2"/>
      <c r="D605" s="2"/>
      <c r="E605" s="2"/>
      <c r="F605" s="2"/>
      <c r="G605" s="2"/>
      <c r="H605" s="23"/>
      <c r="I605" s="23"/>
      <c r="J605" s="23" t="str">
        <f aca="false">IF(C605="","",IF(OR(C605="Purchase",C605="Fee",C605="Withdrawal"),-(H605+I605),H605-I605))</f>
        <v/>
      </c>
      <c r="K605" s="2"/>
      <c r="L605" s="2"/>
      <c r="M605" s="2"/>
    </row>
    <row r="606" customFormat="false" ht="15" hidden="false" customHeight="false" outlineLevel="0" collapsed="false">
      <c r="A606" s="2"/>
      <c r="B606" s="11"/>
      <c r="C606" s="2"/>
      <c r="D606" s="2"/>
      <c r="E606" s="2"/>
      <c r="F606" s="2"/>
      <c r="G606" s="2"/>
      <c r="H606" s="23"/>
      <c r="I606" s="23"/>
      <c r="J606" s="23" t="str">
        <f aca="false">IF(C606="","",IF(OR(C606="Purchase",C606="Fee",C606="Withdrawal"),-(H606+I606),H606-I606))</f>
        <v/>
      </c>
      <c r="K606" s="2"/>
      <c r="L606" s="2"/>
      <c r="M606" s="2"/>
    </row>
    <row r="607" customFormat="false" ht="15" hidden="false" customHeight="false" outlineLevel="0" collapsed="false">
      <c r="A607" s="2"/>
      <c r="B607" s="11"/>
      <c r="C607" s="2"/>
      <c r="D607" s="2"/>
      <c r="E607" s="2"/>
      <c r="F607" s="2"/>
      <c r="G607" s="2"/>
      <c r="H607" s="23"/>
      <c r="I607" s="23"/>
      <c r="J607" s="23" t="str">
        <f aca="false">IF(C607="","",IF(OR(C607="Purchase",C607="Fee",C607="Withdrawal"),-(H607+I607),H607-I607))</f>
        <v/>
      </c>
      <c r="K607" s="2"/>
      <c r="L607" s="2"/>
      <c r="M607" s="2"/>
    </row>
    <row r="608" customFormat="false" ht="15" hidden="false" customHeight="false" outlineLevel="0" collapsed="false">
      <c r="A608" s="2"/>
      <c r="B608" s="11"/>
      <c r="C608" s="2"/>
      <c r="D608" s="2"/>
      <c r="E608" s="2"/>
      <c r="F608" s="2"/>
      <c r="G608" s="2"/>
      <c r="H608" s="23"/>
      <c r="I608" s="23"/>
      <c r="J608" s="23" t="str">
        <f aca="false">IF(C608="","",IF(OR(C608="Purchase",C608="Fee",C608="Withdrawal"),-(H608+I608),H608-I608))</f>
        <v/>
      </c>
      <c r="K608" s="2"/>
      <c r="L608" s="2"/>
      <c r="M608" s="2"/>
    </row>
    <row r="609" customFormat="false" ht="15" hidden="false" customHeight="false" outlineLevel="0" collapsed="false">
      <c r="A609" s="2"/>
      <c r="B609" s="11"/>
      <c r="C609" s="2"/>
      <c r="D609" s="2"/>
      <c r="E609" s="2"/>
      <c r="F609" s="2"/>
      <c r="G609" s="2"/>
      <c r="H609" s="23"/>
      <c r="I609" s="23"/>
      <c r="J609" s="23" t="str">
        <f aca="false">IF(C609="","",IF(OR(C609="Purchase",C609="Fee",C609="Withdrawal"),-(H609+I609),H609-I609))</f>
        <v/>
      </c>
      <c r="K609" s="2"/>
      <c r="L609" s="2"/>
      <c r="M609" s="2"/>
    </row>
    <row r="610" customFormat="false" ht="15" hidden="false" customHeight="false" outlineLevel="0" collapsed="false">
      <c r="A610" s="2"/>
      <c r="B610" s="11"/>
      <c r="C610" s="2"/>
      <c r="D610" s="2"/>
      <c r="E610" s="2"/>
      <c r="F610" s="2"/>
      <c r="G610" s="2"/>
      <c r="H610" s="23"/>
      <c r="I610" s="23"/>
      <c r="J610" s="23" t="str">
        <f aca="false">IF(C610="","",IF(OR(C610="Purchase",C610="Fee",C610="Withdrawal"),-(H610+I610),H610-I610))</f>
        <v/>
      </c>
      <c r="K610" s="2"/>
      <c r="L610" s="2"/>
      <c r="M610" s="2"/>
    </row>
    <row r="611" customFormat="false" ht="15" hidden="false" customHeight="false" outlineLevel="0" collapsed="false">
      <c r="A611" s="2"/>
      <c r="B611" s="11"/>
      <c r="C611" s="2"/>
      <c r="D611" s="2"/>
      <c r="E611" s="2"/>
      <c r="F611" s="2"/>
      <c r="G611" s="2"/>
      <c r="H611" s="23"/>
      <c r="I611" s="23"/>
      <c r="J611" s="23" t="str">
        <f aca="false">IF(C611="","",IF(OR(C611="Purchase",C611="Fee",C611="Withdrawal"),-(H611+I611),H611-I611))</f>
        <v/>
      </c>
      <c r="K611" s="2"/>
      <c r="L611" s="2"/>
      <c r="M611" s="2"/>
    </row>
    <row r="612" customFormat="false" ht="15" hidden="false" customHeight="false" outlineLevel="0" collapsed="false">
      <c r="A612" s="2"/>
      <c r="B612" s="11"/>
      <c r="C612" s="2"/>
      <c r="D612" s="2"/>
      <c r="E612" s="2"/>
      <c r="F612" s="2"/>
      <c r="G612" s="2"/>
      <c r="H612" s="23"/>
      <c r="I612" s="23"/>
      <c r="J612" s="23" t="str">
        <f aca="false">IF(C612="","",IF(OR(C612="Purchase",C612="Fee",C612="Withdrawal"),-(H612+I612),H612-I612))</f>
        <v/>
      </c>
      <c r="K612" s="2"/>
      <c r="L612" s="2"/>
      <c r="M612" s="2"/>
    </row>
    <row r="613" customFormat="false" ht="15" hidden="false" customHeight="false" outlineLevel="0" collapsed="false">
      <c r="A613" s="2"/>
      <c r="B613" s="11"/>
      <c r="C613" s="2"/>
      <c r="D613" s="2"/>
      <c r="E613" s="2"/>
      <c r="F613" s="2"/>
      <c r="G613" s="2"/>
      <c r="H613" s="23"/>
      <c r="I613" s="23"/>
      <c r="J613" s="23" t="str">
        <f aca="false">IF(C613="","",IF(OR(C613="Purchase",C613="Fee",C613="Withdrawal"),-(H613+I613),H613-I613))</f>
        <v/>
      </c>
      <c r="K613" s="2"/>
      <c r="L613" s="2"/>
      <c r="M613" s="2"/>
    </row>
    <row r="614" customFormat="false" ht="15" hidden="false" customHeight="false" outlineLevel="0" collapsed="false">
      <c r="A614" s="2"/>
      <c r="B614" s="11"/>
      <c r="C614" s="2"/>
      <c r="D614" s="2"/>
      <c r="E614" s="2"/>
      <c r="F614" s="2"/>
      <c r="G614" s="2"/>
      <c r="H614" s="23"/>
      <c r="I614" s="23"/>
      <c r="J614" s="23" t="str">
        <f aca="false">IF(C614="","",IF(OR(C614="Purchase",C614="Fee",C614="Withdrawal"),-(H614+I614),H614-I614))</f>
        <v/>
      </c>
      <c r="K614" s="2"/>
      <c r="L614" s="2"/>
      <c r="M614" s="2"/>
    </row>
    <row r="615" customFormat="false" ht="15" hidden="false" customHeight="false" outlineLevel="0" collapsed="false">
      <c r="A615" s="2"/>
      <c r="B615" s="11"/>
      <c r="C615" s="2"/>
      <c r="D615" s="2"/>
      <c r="E615" s="2"/>
      <c r="F615" s="2"/>
      <c r="G615" s="2"/>
      <c r="H615" s="23"/>
      <c r="I615" s="23"/>
      <c r="J615" s="23" t="str">
        <f aca="false">IF(C615="","",IF(OR(C615="Purchase",C615="Fee",C615="Withdrawal"),-(H615+I615),H615-I615))</f>
        <v/>
      </c>
      <c r="K615" s="2"/>
      <c r="L615" s="2"/>
      <c r="M615" s="2"/>
    </row>
    <row r="616" customFormat="false" ht="15" hidden="false" customHeight="false" outlineLevel="0" collapsed="false">
      <c r="A616" s="2"/>
      <c r="B616" s="11"/>
      <c r="C616" s="2"/>
      <c r="D616" s="2"/>
      <c r="E616" s="2"/>
      <c r="F616" s="2"/>
      <c r="G616" s="2"/>
      <c r="H616" s="23"/>
      <c r="I616" s="23"/>
      <c r="J616" s="23" t="str">
        <f aca="false">IF(C616="","",IF(OR(C616="Purchase",C616="Fee",C616="Withdrawal"),-(H616+I616),H616-I616))</f>
        <v/>
      </c>
      <c r="K616" s="2"/>
      <c r="L616" s="2"/>
      <c r="M616" s="2"/>
    </row>
    <row r="617" customFormat="false" ht="15" hidden="false" customHeight="false" outlineLevel="0" collapsed="false">
      <c r="A617" s="2"/>
      <c r="B617" s="11"/>
      <c r="C617" s="2"/>
      <c r="D617" s="2"/>
      <c r="E617" s="2"/>
      <c r="F617" s="2"/>
      <c r="G617" s="2"/>
      <c r="H617" s="23"/>
      <c r="I617" s="23"/>
      <c r="J617" s="23" t="str">
        <f aca="false">IF(C617="","",IF(OR(C617="Purchase",C617="Fee",C617="Withdrawal"),-(H617+I617),H617-I617))</f>
        <v/>
      </c>
      <c r="K617" s="2"/>
      <c r="L617" s="2"/>
      <c r="M617" s="2"/>
    </row>
    <row r="618" customFormat="false" ht="15" hidden="false" customHeight="false" outlineLevel="0" collapsed="false">
      <c r="A618" s="2"/>
      <c r="B618" s="11"/>
      <c r="C618" s="2"/>
      <c r="D618" s="2"/>
      <c r="E618" s="2"/>
      <c r="F618" s="2"/>
      <c r="G618" s="2"/>
      <c r="H618" s="23"/>
      <c r="I618" s="23"/>
      <c r="J618" s="23" t="str">
        <f aca="false">IF(C618="","",IF(OR(C618="Purchase",C618="Fee",C618="Withdrawal"),-(H618+I618),H618-I618))</f>
        <v/>
      </c>
      <c r="K618" s="2"/>
      <c r="L618" s="2"/>
      <c r="M618" s="2"/>
    </row>
    <row r="619" customFormat="false" ht="15" hidden="false" customHeight="false" outlineLevel="0" collapsed="false">
      <c r="A619" s="2"/>
      <c r="B619" s="11"/>
      <c r="C619" s="2"/>
      <c r="D619" s="2"/>
      <c r="E619" s="2"/>
      <c r="F619" s="2"/>
      <c r="G619" s="2"/>
      <c r="H619" s="23"/>
      <c r="I619" s="23"/>
      <c r="J619" s="23" t="str">
        <f aca="false">IF(C619="","",IF(OR(C619="Purchase",C619="Fee",C619="Withdrawal"),-(H619+I619),H619-I619))</f>
        <v/>
      </c>
      <c r="K619" s="2"/>
      <c r="L619" s="2"/>
      <c r="M619" s="2"/>
    </row>
    <row r="620" customFormat="false" ht="15" hidden="false" customHeight="false" outlineLevel="0" collapsed="false">
      <c r="A620" s="2"/>
      <c r="B620" s="11"/>
      <c r="C620" s="2"/>
      <c r="D620" s="2"/>
      <c r="E620" s="2"/>
      <c r="F620" s="2"/>
      <c r="G620" s="2"/>
      <c r="H620" s="23"/>
      <c r="I620" s="23"/>
      <c r="J620" s="23" t="str">
        <f aca="false">IF(C620="","",IF(OR(C620="Purchase",C620="Fee",C620="Withdrawal"),-(H620+I620),H620-I620))</f>
        <v/>
      </c>
      <c r="K620" s="2"/>
      <c r="L620" s="2"/>
      <c r="M620" s="2"/>
    </row>
    <row r="621" customFormat="false" ht="15" hidden="false" customHeight="false" outlineLevel="0" collapsed="false">
      <c r="A621" s="2"/>
      <c r="B621" s="11"/>
      <c r="C621" s="2"/>
      <c r="D621" s="2"/>
      <c r="E621" s="2"/>
      <c r="F621" s="2"/>
      <c r="G621" s="2"/>
      <c r="H621" s="23"/>
      <c r="I621" s="23"/>
      <c r="J621" s="23" t="str">
        <f aca="false">IF(C621="","",IF(OR(C621="Purchase",C621="Fee",C621="Withdrawal"),-(H621+I621),H621-I621))</f>
        <v/>
      </c>
      <c r="K621" s="2"/>
      <c r="L621" s="2"/>
      <c r="M621" s="2"/>
    </row>
    <row r="622" customFormat="false" ht="15" hidden="false" customHeight="false" outlineLevel="0" collapsed="false">
      <c r="A622" s="2"/>
      <c r="B622" s="11"/>
      <c r="C622" s="2"/>
      <c r="D622" s="2"/>
      <c r="E622" s="2"/>
      <c r="F622" s="2"/>
      <c r="G622" s="2"/>
      <c r="H622" s="23"/>
      <c r="I622" s="23"/>
      <c r="J622" s="23" t="str">
        <f aca="false">IF(C622="","",IF(OR(C622="Purchase",C622="Fee",C622="Withdrawal"),-(H622+I622),H622-I622))</f>
        <v/>
      </c>
      <c r="K622" s="2"/>
      <c r="L622" s="2"/>
      <c r="M622" s="2"/>
    </row>
    <row r="623" customFormat="false" ht="15" hidden="false" customHeight="false" outlineLevel="0" collapsed="false">
      <c r="A623" s="2"/>
      <c r="B623" s="11"/>
      <c r="C623" s="2"/>
      <c r="D623" s="2"/>
      <c r="E623" s="2"/>
      <c r="F623" s="2"/>
      <c r="G623" s="2"/>
      <c r="H623" s="23"/>
      <c r="I623" s="23"/>
      <c r="J623" s="23" t="str">
        <f aca="false">IF(C623="","",IF(OR(C623="Purchase",C623="Fee",C623="Withdrawal"),-(H623+I623),H623-I623))</f>
        <v/>
      </c>
      <c r="K623" s="2"/>
      <c r="L623" s="2"/>
      <c r="M623" s="2"/>
    </row>
    <row r="624" customFormat="false" ht="15" hidden="false" customHeight="false" outlineLevel="0" collapsed="false">
      <c r="A624" s="2"/>
      <c r="B624" s="11"/>
      <c r="C624" s="2"/>
      <c r="D624" s="2"/>
      <c r="E624" s="2"/>
      <c r="F624" s="2"/>
      <c r="G624" s="2"/>
      <c r="H624" s="23"/>
      <c r="I624" s="23"/>
      <c r="J624" s="23" t="str">
        <f aca="false">IF(C624="","",IF(OR(C624="Purchase",C624="Fee",C624="Withdrawal"),-(H624+I624),H624-I624))</f>
        <v/>
      </c>
      <c r="K624" s="2"/>
      <c r="L624" s="2"/>
      <c r="M624" s="2"/>
    </row>
    <row r="625" customFormat="false" ht="15" hidden="false" customHeight="false" outlineLevel="0" collapsed="false">
      <c r="A625" s="2"/>
      <c r="B625" s="11"/>
      <c r="C625" s="2"/>
      <c r="D625" s="2"/>
      <c r="E625" s="2"/>
      <c r="F625" s="2"/>
      <c r="G625" s="2"/>
      <c r="H625" s="23"/>
      <c r="I625" s="23"/>
      <c r="J625" s="23" t="str">
        <f aca="false">IF(C625="","",IF(OR(C625="Purchase",C625="Fee",C625="Withdrawal"),-(H625+I625),H625-I625))</f>
        <v/>
      </c>
      <c r="K625" s="2"/>
      <c r="L625" s="2"/>
      <c r="M625" s="2"/>
    </row>
    <row r="626" customFormat="false" ht="15" hidden="false" customHeight="false" outlineLevel="0" collapsed="false">
      <c r="A626" s="2"/>
      <c r="B626" s="11"/>
      <c r="C626" s="2"/>
      <c r="D626" s="2"/>
      <c r="E626" s="2"/>
      <c r="F626" s="2"/>
      <c r="G626" s="2"/>
      <c r="H626" s="23"/>
      <c r="I626" s="23"/>
      <c r="J626" s="23" t="str">
        <f aca="false">IF(C626="","",IF(OR(C626="Purchase",C626="Fee",C626="Withdrawal"),-(H626+I626),H626-I626))</f>
        <v/>
      </c>
      <c r="K626" s="2"/>
      <c r="L626" s="2"/>
      <c r="M626" s="2"/>
    </row>
    <row r="627" customFormat="false" ht="15" hidden="false" customHeight="false" outlineLevel="0" collapsed="false">
      <c r="A627" s="2"/>
      <c r="B627" s="11"/>
      <c r="C627" s="2"/>
      <c r="D627" s="2"/>
      <c r="E627" s="2"/>
      <c r="F627" s="2"/>
      <c r="G627" s="2"/>
      <c r="H627" s="23"/>
      <c r="I627" s="23"/>
      <c r="J627" s="23" t="str">
        <f aca="false">IF(C627="","",IF(OR(C627="Purchase",C627="Fee",C627="Withdrawal"),-(H627+I627),H627-I627))</f>
        <v/>
      </c>
      <c r="K627" s="2"/>
      <c r="L627" s="2"/>
      <c r="M627" s="2"/>
    </row>
    <row r="628" customFormat="false" ht="15" hidden="false" customHeight="false" outlineLevel="0" collapsed="false">
      <c r="A628" s="2"/>
      <c r="B628" s="11"/>
      <c r="C628" s="2"/>
      <c r="D628" s="2"/>
      <c r="E628" s="2"/>
      <c r="F628" s="2"/>
      <c r="G628" s="2"/>
      <c r="H628" s="23"/>
      <c r="I628" s="23"/>
      <c r="J628" s="23" t="str">
        <f aca="false">IF(C628="","",IF(OR(C628="Purchase",C628="Fee",C628="Withdrawal"),-(H628+I628),H628-I628))</f>
        <v/>
      </c>
      <c r="K628" s="2"/>
      <c r="L628" s="2"/>
      <c r="M628" s="2"/>
    </row>
    <row r="629" customFormat="false" ht="15" hidden="false" customHeight="false" outlineLevel="0" collapsed="false">
      <c r="A629" s="2"/>
      <c r="B629" s="11"/>
      <c r="C629" s="2"/>
      <c r="D629" s="2"/>
      <c r="E629" s="2"/>
      <c r="F629" s="2"/>
      <c r="G629" s="2"/>
      <c r="H629" s="23"/>
      <c r="I629" s="23"/>
      <c r="J629" s="23" t="str">
        <f aca="false">IF(C629="","",IF(OR(C629="Purchase",C629="Fee",C629="Withdrawal"),-(H629+I629),H629-I629))</f>
        <v/>
      </c>
      <c r="K629" s="2"/>
      <c r="L629" s="2"/>
      <c r="M629" s="2"/>
    </row>
    <row r="630" customFormat="false" ht="15" hidden="false" customHeight="false" outlineLevel="0" collapsed="false">
      <c r="A630" s="2"/>
      <c r="B630" s="11"/>
      <c r="C630" s="2"/>
      <c r="D630" s="2"/>
      <c r="E630" s="2"/>
      <c r="F630" s="2"/>
      <c r="G630" s="2"/>
      <c r="H630" s="23"/>
      <c r="I630" s="23"/>
      <c r="J630" s="23" t="str">
        <f aca="false">IF(C630="","",IF(OR(C630="Purchase",C630="Fee",C630="Withdrawal"),-(H630+I630),H630-I630))</f>
        <v/>
      </c>
      <c r="K630" s="2"/>
      <c r="L630" s="2"/>
      <c r="M630" s="2"/>
    </row>
    <row r="631" customFormat="false" ht="15" hidden="false" customHeight="false" outlineLevel="0" collapsed="false">
      <c r="A631" s="2"/>
      <c r="B631" s="11"/>
      <c r="C631" s="2"/>
      <c r="D631" s="2"/>
      <c r="E631" s="2"/>
      <c r="F631" s="2"/>
      <c r="G631" s="2"/>
      <c r="H631" s="23"/>
      <c r="I631" s="23"/>
      <c r="J631" s="23" t="str">
        <f aca="false">IF(C631="","",IF(OR(C631="Purchase",C631="Fee",C631="Withdrawal"),-(H631+I631),H631-I631))</f>
        <v/>
      </c>
      <c r="K631" s="2"/>
      <c r="L631" s="2"/>
      <c r="M631" s="2"/>
    </row>
    <row r="632" customFormat="false" ht="15" hidden="false" customHeight="false" outlineLevel="0" collapsed="false">
      <c r="A632" s="2"/>
      <c r="B632" s="11"/>
      <c r="C632" s="2"/>
      <c r="D632" s="2"/>
      <c r="E632" s="2"/>
      <c r="F632" s="2"/>
      <c r="G632" s="2"/>
      <c r="H632" s="23"/>
      <c r="I632" s="23"/>
      <c r="J632" s="23" t="str">
        <f aca="false">IF(C632="","",IF(OR(C632="Purchase",C632="Fee",C632="Withdrawal"),-(H632+I632),H632-I632))</f>
        <v/>
      </c>
      <c r="K632" s="2"/>
      <c r="L632" s="2"/>
      <c r="M632" s="2"/>
    </row>
    <row r="633" customFormat="false" ht="15" hidden="false" customHeight="false" outlineLevel="0" collapsed="false">
      <c r="A633" s="2"/>
      <c r="B633" s="11"/>
      <c r="C633" s="2"/>
      <c r="D633" s="2"/>
      <c r="E633" s="2"/>
      <c r="F633" s="2"/>
      <c r="G633" s="2"/>
      <c r="H633" s="23"/>
      <c r="I633" s="23"/>
      <c r="J633" s="23" t="str">
        <f aca="false">IF(C633="","",IF(OR(C633="Purchase",C633="Fee",C633="Withdrawal"),-(H633+I633),H633-I633))</f>
        <v/>
      </c>
      <c r="K633" s="2"/>
      <c r="L633" s="2"/>
      <c r="M633" s="2"/>
    </row>
    <row r="634" customFormat="false" ht="15" hidden="false" customHeight="false" outlineLevel="0" collapsed="false">
      <c r="A634" s="2"/>
      <c r="B634" s="11"/>
      <c r="C634" s="2"/>
      <c r="D634" s="2"/>
      <c r="E634" s="2"/>
      <c r="F634" s="2"/>
      <c r="G634" s="2"/>
      <c r="H634" s="23"/>
      <c r="I634" s="23"/>
      <c r="J634" s="23" t="str">
        <f aca="false">IF(C634="","",IF(OR(C634="Purchase",C634="Fee",C634="Withdrawal"),-(H634+I634),H634-I634))</f>
        <v/>
      </c>
      <c r="K634" s="2"/>
      <c r="L634" s="2"/>
      <c r="M634" s="2"/>
    </row>
    <row r="635" customFormat="false" ht="15" hidden="false" customHeight="false" outlineLevel="0" collapsed="false">
      <c r="A635" s="2"/>
      <c r="B635" s="11"/>
      <c r="C635" s="2"/>
      <c r="D635" s="2"/>
      <c r="E635" s="2"/>
      <c r="F635" s="2"/>
      <c r="G635" s="2"/>
      <c r="H635" s="23"/>
      <c r="I635" s="23"/>
      <c r="J635" s="23" t="str">
        <f aca="false">IF(C635="","",IF(OR(C635="Purchase",C635="Fee",C635="Withdrawal"),-(H635+I635),H635-I635))</f>
        <v/>
      </c>
      <c r="K635" s="2"/>
      <c r="L635" s="2"/>
      <c r="M635" s="2"/>
    </row>
    <row r="636" customFormat="false" ht="15" hidden="false" customHeight="false" outlineLevel="0" collapsed="false">
      <c r="A636" s="2"/>
      <c r="B636" s="11"/>
      <c r="C636" s="2"/>
      <c r="D636" s="2"/>
      <c r="E636" s="2"/>
      <c r="F636" s="2"/>
      <c r="G636" s="2"/>
      <c r="H636" s="23"/>
      <c r="I636" s="23"/>
      <c r="J636" s="23" t="str">
        <f aca="false">IF(C636="","",IF(OR(C636="Purchase",C636="Fee",C636="Withdrawal"),-(H636+I636),H636-I636))</f>
        <v/>
      </c>
      <c r="K636" s="2"/>
      <c r="L636" s="2"/>
      <c r="M636" s="2"/>
    </row>
    <row r="637" customFormat="false" ht="15" hidden="false" customHeight="false" outlineLevel="0" collapsed="false">
      <c r="A637" s="2"/>
      <c r="B637" s="11"/>
      <c r="C637" s="2"/>
      <c r="D637" s="2"/>
      <c r="E637" s="2"/>
      <c r="F637" s="2"/>
      <c r="G637" s="2"/>
      <c r="H637" s="23"/>
      <c r="I637" s="23"/>
      <c r="J637" s="23" t="str">
        <f aca="false">IF(C637="","",IF(OR(C637="Purchase",C637="Fee",C637="Withdrawal"),-(H637+I637),H637-I637))</f>
        <v/>
      </c>
      <c r="K637" s="2"/>
      <c r="L637" s="2"/>
      <c r="M637" s="2"/>
    </row>
    <row r="638" customFormat="false" ht="15" hidden="false" customHeight="false" outlineLevel="0" collapsed="false">
      <c r="A638" s="2"/>
      <c r="B638" s="11"/>
      <c r="C638" s="2"/>
      <c r="D638" s="2"/>
      <c r="E638" s="2"/>
      <c r="F638" s="2"/>
      <c r="G638" s="2"/>
      <c r="H638" s="23"/>
      <c r="I638" s="23"/>
      <c r="J638" s="23" t="str">
        <f aca="false">IF(C638="","",IF(OR(C638="Purchase",C638="Fee",C638="Withdrawal"),-(H638+I638),H638-I638))</f>
        <v/>
      </c>
      <c r="K638" s="2"/>
      <c r="L638" s="2"/>
      <c r="M638" s="2"/>
    </row>
    <row r="639" customFormat="false" ht="15" hidden="false" customHeight="false" outlineLevel="0" collapsed="false">
      <c r="A639" s="2"/>
      <c r="B639" s="11"/>
      <c r="C639" s="2"/>
      <c r="D639" s="2"/>
      <c r="E639" s="2"/>
      <c r="F639" s="2"/>
      <c r="G639" s="2"/>
      <c r="H639" s="23"/>
      <c r="I639" s="23"/>
      <c r="J639" s="23" t="str">
        <f aca="false">IF(C639="","",IF(OR(C639="Purchase",C639="Fee",C639="Withdrawal"),-(H639+I639),H639-I639))</f>
        <v/>
      </c>
      <c r="K639" s="2"/>
      <c r="L639" s="2"/>
      <c r="M639" s="2"/>
    </row>
    <row r="640" customFormat="false" ht="15" hidden="false" customHeight="false" outlineLevel="0" collapsed="false">
      <c r="A640" s="2"/>
      <c r="B640" s="11"/>
      <c r="C640" s="2"/>
      <c r="D640" s="2"/>
      <c r="E640" s="2"/>
      <c r="F640" s="2"/>
      <c r="G640" s="2"/>
      <c r="H640" s="23"/>
      <c r="I640" s="23"/>
      <c r="J640" s="23" t="str">
        <f aca="false">IF(C640="","",IF(OR(C640="Purchase",C640="Fee",C640="Withdrawal"),-(H640+I640),H640-I640))</f>
        <v/>
      </c>
      <c r="K640" s="2"/>
      <c r="L640" s="2"/>
      <c r="M640" s="2"/>
    </row>
    <row r="641" customFormat="false" ht="15" hidden="false" customHeight="false" outlineLevel="0" collapsed="false">
      <c r="A641" s="2"/>
      <c r="B641" s="11"/>
      <c r="C641" s="2"/>
      <c r="D641" s="2"/>
      <c r="E641" s="2"/>
      <c r="F641" s="2"/>
      <c r="G641" s="2"/>
      <c r="H641" s="23"/>
      <c r="I641" s="23"/>
      <c r="J641" s="23" t="str">
        <f aca="false">IF(C641="","",IF(OR(C641="Purchase",C641="Fee",C641="Withdrawal"),-(H641+I641),H641-I641))</f>
        <v/>
      </c>
      <c r="K641" s="2"/>
      <c r="L641" s="2"/>
      <c r="M641" s="2"/>
    </row>
    <row r="642" customFormat="false" ht="15" hidden="false" customHeight="false" outlineLevel="0" collapsed="false">
      <c r="A642" s="2"/>
      <c r="B642" s="11"/>
      <c r="C642" s="2"/>
      <c r="D642" s="2"/>
      <c r="E642" s="2"/>
      <c r="F642" s="2"/>
      <c r="G642" s="2"/>
      <c r="H642" s="23"/>
      <c r="I642" s="23"/>
      <c r="J642" s="23" t="str">
        <f aca="false">IF(C642="","",IF(OR(C642="Purchase",C642="Fee",C642="Withdrawal"),-(H642+I642),H642-I642))</f>
        <v/>
      </c>
      <c r="K642" s="2"/>
      <c r="L642" s="2"/>
      <c r="M642" s="2"/>
    </row>
    <row r="643" customFormat="false" ht="15" hidden="false" customHeight="false" outlineLevel="0" collapsed="false">
      <c r="A643" s="2"/>
      <c r="B643" s="11"/>
      <c r="C643" s="2"/>
      <c r="D643" s="2"/>
      <c r="E643" s="2"/>
      <c r="F643" s="2"/>
      <c r="G643" s="2"/>
      <c r="H643" s="23"/>
      <c r="I643" s="23"/>
      <c r="J643" s="23" t="str">
        <f aca="false">IF(C643="","",IF(OR(C643="Purchase",C643="Fee",C643="Withdrawal"),-(H643+I643),H643-I643))</f>
        <v/>
      </c>
      <c r="K643" s="2"/>
      <c r="L643" s="2"/>
      <c r="M643" s="2"/>
    </row>
    <row r="644" customFormat="false" ht="15" hidden="false" customHeight="false" outlineLevel="0" collapsed="false">
      <c r="A644" s="2"/>
      <c r="B644" s="11"/>
      <c r="C644" s="2"/>
      <c r="D644" s="2"/>
      <c r="E644" s="2"/>
      <c r="F644" s="2"/>
      <c r="G644" s="2"/>
      <c r="H644" s="23"/>
      <c r="I644" s="23"/>
      <c r="J644" s="23" t="str">
        <f aca="false">IF(C644="","",IF(OR(C644="Purchase",C644="Fee",C644="Withdrawal"),-(H644+I644),H644-I644))</f>
        <v/>
      </c>
      <c r="K644" s="2"/>
      <c r="L644" s="2"/>
      <c r="M644" s="2"/>
    </row>
    <row r="645" customFormat="false" ht="15" hidden="false" customHeight="false" outlineLevel="0" collapsed="false">
      <c r="A645" s="2"/>
      <c r="B645" s="11"/>
      <c r="C645" s="2"/>
      <c r="D645" s="2"/>
      <c r="E645" s="2"/>
      <c r="F645" s="2"/>
      <c r="G645" s="2"/>
      <c r="H645" s="23"/>
      <c r="I645" s="23"/>
      <c r="J645" s="23" t="str">
        <f aca="false">IF(C645="","",IF(OR(C645="Purchase",C645="Fee",C645="Withdrawal"),-(H645+I645),H645-I645))</f>
        <v/>
      </c>
      <c r="K645" s="2"/>
      <c r="L645" s="2"/>
      <c r="M645" s="2"/>
    </row>
    <row r="646" customFormat="false" ht="15" hidden="false" customHeight="false" outlineLevel="0" collapsed="false">
      <c r="A646" s="2"/>
      <c r="B646" s="11"/>
      <c r="C646" s="2"/>
      <c r="D646" s="2"/>
      <c r="E646" s="2"/>
      <c r="F646" s="2"/>
      <c r="G646" s="2"/>
      <c r="H646" s="23"/>
      <c r="I646" s="23"/>
      <c r="J646" s="23" t="str">
        <f aca="false">IF(C646="","",IF(OR(C646="Purchase",C646="Fee",C646="Withdrawal"),-(H646+I646),H646-I646))</f>
        <v/>
      </c>
      <c r="K646" s="2"/>
      <c r="L646" s="2"/>
      <c r="M646" s="2"/>
    </row>
    <row r="647" customFormat="false" ht="15" hidden="false" customHeight="false" outlineLevel="0" collapsed="false">
      <c r="A647" s="2"/>
      <c r="B647" s="11"/>
      <c r="C647" s="2"/>
      <c r="D647" s="2"/>
      <c r="E647" s="2"/>
      <c r="F647" s="2"/>
      <c r="G647" s="2"/>
      <c r="H647" s="23"/>
      <c r="I647" s="23"/>
      <c r="J647" s="23" t="str">
        <f aca="false">IF(C647="","",IF(OR(C647="Purchase",C647="Fee",C647="Withdrawal"),-(H647+I647),H647-I647))</f>
        <v/>
      </c>
      <c r="K647" s="2"/>
      <c r="L647" s="2"/>
      <c r="M647" s="2"/>
    </row>
    <row r="648" customFormat="false" ht="15" hidden="false" customHeight="false" outlineLevel="0" collapsed="false">
      <c r="A648" s="2"/>
      <c r="B648" s="11"/>
      <c r="C648" s="2"/>
      <c r="D648" s="2"/>
      <c r="E648" s="2"/>
      <c r="F648" s="2"/>
      <c r="G648" s="2"/>
      <c r="H648" s="23"/>
      <c r="I648" s="23"/>
      <c r="J648" s="23" t="str">
        <f aca="false">IF(C648="","",IF(OR(C648="Purchase",C648="Fee",C648="Withdrawal"),-(H648+I648),H648-I648))</f>
        <v/>
      </c>
      <c r="K648" s="2"/>
      <c r="L648" s="2"/>
      <c r="M648" s="2"/>
    </row>
    <row r="649" customFormat="false" ht="15" hidden="false" customHeight="false" outlineLevel="0" collapsed="false">
      <c r="A649" s="2"/>
      <c r="B649" s="11"/>
      <c r="C649" s="2"/>
      <c r="D649" s="2"/>
      <c r="E649" s="2"/>
      <c r="F649" s="2"/>
      <c r="G649" s="2"/>
      <c r="H649" s="23"/>
      <c r="I649" s="23"/>
      <c r="J649" s="23" t="str">
        <f aca="false">IF(C649="","",IF(OR(C649="Purchase",C649="Fee",C649="Withdrawal"),-(H649+I649),H649-I649))</f>
        <v/>
      </c>
      <c r="K649" s="2"/>
      <c r="L649" s="2"/>
      <c r="M649" s="2"/>
    </row>
    <row r="650" customFormat="false" ht="15" hidden="false" customHeight="false" outlineLevel="0" collapsed="false">
      <c r="A650" s="2"/>
      <c r="B650" s="11"/>
      <c r="C650" s="2"/>
      <c r="D650" s="2"/>
      <c r="E650" s="2"/>
      <c r="F650" s="2"/>
      <c r="G650" s="2"/>
      <c r="H650" s="23"/>
      <c r="I650" s="23"/>
      <c r="J650" s="23" t="str">
        <f aca="false">IF(C650="","",IF(OR(C650="Purchase",C650="Fee",C650="Withdrawal"),-(H650+I650),H650-I650))</f>
        <v/>
      </c>
      <c r="K650" s="2"/>
      <c r="L650" s="2"/>
      <c r="M650" s="2"/>
    </row>
    <row r="651" customFormat="false" ht="15" hidden="false" customHeight="false" outlineLevel="0" collapsed="false">
      <c r="A651" s="2"/>
      <c r="B651" s="11"/>
      <c r="C651" s="2"/>
      <c r="D651" s="2"/>
      <c r="E651" s="2"/>
      <c r="F651" s="2"/>
      <c r="G651" s="2"/>
      <c r="H651" s="23"/>
      <c r="I651" s="23"/>
      <c r="J651" s="23" t="str">
        <f aca="false">IF(C651="","",IF(OR(C651="Purchase",C651="Fee",C651="Withdrawal"),-(H651+I651),H651-I651))</f>
        <v/>
      </c>
      <c r="K651" s="2"/>
      <c r="L651" s="2"/>
      <c r="M651" s="2"/>
    </row>
    <row r="652" customFormat="false" ht="15" hidden="false" customHeight="false" outlineLevel="0" collapsed="false">
      <c r="A652" s="2"/>
      <c r="B652" s="11"/>
      <c r="C652" s="2"/>
      <c r="D652" s="2"/>
      <c r="E652" s="2"/>
      <c r="F652" s="2"/>
      <c r="G652" s="2"/>
      <c r="H652" s="23"/>
      <c r="I652" s="23"/>
      <c r="J652" s="23" t="str">
        <f aca="false">IF(C652="","",IF(OR(C652="Purchase",C652="Fee",C652="Withdrawal"),-(H652+I652),H652-I652))</f>
        <v/>
      </c>
      <c r="K652" s="2"/>
      <c r="L652" s="2"/>
      <c r="M652" s="2"/>
    </row>
    <row r="653" customFormat="false" ht="15" hidden="false" customHeight="false" outlineLevel="0" collapsed="false">
      <c r="A653" s="2"/>
      <c r="B653" s="11"/>
      <c r="C653" s="2"/>
      <c r="D653" s="2"/>
      <c r="E653" s="2"/>
      <c r="F653" s="2"/>
      <c r="G653" s="2"/>
      <c r="H653" s="23"/>
      <c r="I653" s="23"/>
      <c r="J653" s="23" t="str">
        <f aca="false">IF(C653="","",IF(OR(C653="Purchase",C653="Fee",C653="Withdrawal"),-(H653+I653),H653-I653))</f>
        <v/>
      </c>
      <c r="K653" s="2"/>
      <c r="L653" s="2"/>
      <c r="M653" s="2"/>
    </row>
    <row r="654" customFormat="false" ht="15" hidden="false" customHeight="false" outlineLevel="0" collapsed="false">
      <c r="A654" s="2"/>
      <c r="B654" s="11"/>
      <c r="C654" s="2"/>
      <c r="D654" s="2"/>
      <c r="E654" s="2"/>
      <c r="F654" s="2"/>
      <c r="G654" s="2"/>
      <c r="H654" s="23"/>
      <c r="I654" s="23"/>
      <c r="J654" s="23" t="str">
        <f aca="false">IF(C654="","",IF(OR(C654="Purchase",C654="Fee",C654="Withdrawal"),-(H654+I654),H654-I654))</f>
        <v/>
      </c>
      <c r="K654" s="2"/>
      <c r="L654" s="2"/>
      <c r="M654" s="2"/>
    </row>
    <row r="655" customFormat="false" ht="15" hidden="false" customHeight="false" outlineLevel="0" collapsed="false">
      <c r="A655" s="2"/>
      <c r="B655" s="11"/>
      <c r="C655" s="2"/>
      <c r="D655" s="2"/>
      <c r="E655" s="2"/>
      <c r="F655" s="2"/>
      <c r="G655" s="2"/>
      <c r="H655" s="23"/>
      <c r="I655" s="23"/>
      <c r="J655" s="23" t="str">
        <f aca="false">IF(C655="","",IF(OR(C655="Purchase",C655="Fee",C655="Withdrawal"),-(H655+I655),H655-I655))</f>
        <v/>
      </c>
      <c r="K655" s="2"/>
      <c r="L655" s="2"/>
      <c r="M655" s="2"/>
    </row>
    <row r="656" customFormat="false" ht="15" hidden="false" customHeight="false" outlineLevel="0" collapsed="false">
      <c r="A656" s="2"/>
      <c r="B656" s="11"/>
      <c r="C656" s="2"/>
      <c r="D656" s="2"/>
      <c r="E656" s="2"/>
      <c r="F656" s="2"/>
      <c r="G656" s="2"/>
      <c r="H656" s="23"/>
      <c r="I656" s="23"/>
      <c r="J656" s="23" t="str">
        <f aca="false">IF(C656="","",IF(OR(C656="Purchase",C656="Fee",C656="Withdrawal"),-(H656+I656),H656-I656))</f>
        <v/>
      </c>
      <c r="K656" s="2"/>
      <c r="L656" s="2"/>
      <c r="M656" s="2"/>
    </row>
    <row r="657" customFormat="false" ht="15" hidden="false" customHeight="false" outlineLevel="0" collapsed="false">
      <c r="A657" s="2"/>
      <c r="B657" s="11"/>
      <c r="C657" s="2"/>
      <c r="D657" s="2"/>
      <c r="E657" s="2"/>
      <c r="F657" s="2"/>
      <c r="G657" s="2"/>
      <c r="H657" s="23"/>
      <c r="I657" s="23"/>
      <c r="J657" s="23" t="str">
        <f aca="false">IF(C657="","",IF(OR(C657="Purchase",C657="Fee",C657="Withdrawal"),-(H657+I657),H657-I657))</f>
        <v/>
      </c>
      <c r="K657" s="2"/>
      <c r="L657" s="2"/>
      <c r="M657" s="2"/>
    </row>
    <row r="658" customFormat="false" ht="15" hidden="false" customHeight="false" outlineLevel="0" collapsed="false">
      <c r="A658" s="2"/>
      <c r="B658" s="11"/>
      <c r="C658" s="2"/>
      <c r="D658" s="2"/>
      <c r="E658" s="2"/>
      <c r="F658" s="2"/>
      <c r="G658" s="2"/>
      <c r="H658" s="23"/>
      <c r="I658" s="23"/>
      <c r="J658" s="23" t="str">
        <f aca="false">IF(C658="","",IF(OR(C658="Purchase",C658="Fee",C658="Withdrawal"),-(H658+I658),H658-I658))</f>
        <v/>
      </c>
      <c r="K658" s="2"/>
      <c r="L658" s="2"/>
      <c r="M658" s="2"/>
    </row>
    <row r="659" customFormat="false" ht="15" hidden="false" customHeight="false" outlineLevel="0" collapsed="false">
      <c r="A659" s="2"/>
      <c r="B659" s="11"/>
      <c r="C659" s="2"/>
      <c r="D659" s="2"/>
      <c r="E659" s="2"/>
      <c r="F659" s="2"/>
      <c r="G659" s="2"/>
      <c r="H659" s="23"/>
      <c r="I659" s="23"/>
      <c r="J659" s="23" t="str">
        <f aca="false">IF(C659="","",IF(OR(C659="Purchase",C659="Fee",C659="Withdrawal"),-(H659+I659),H659-I659))</f>
        <v/>
      </c>
      <c r="K659" s="2"/>
      <c r="L659" s="2"/>
      <c r="M659" s="2"/>
    </row>
    <row r="660" customFormat="false" ht="15" hidden="false" customHeight="false" outlineLevel="0" collapsed="false">
      <c r="A660" s="2"/>
      <c r="B660" s="11"/>
      <c r="C660" s="2"/>
      <c r="D660" s="2"/>
      <c r="E660" s="2"/>
      <c r="F660" s="2"/>
      <c r="G660" s="2"/>
      <c r="H660" s="23"/>
      <c r="I660" s="23"/>
      <c r="J660" s="23" t="str">
        <f aca="false">IF(C660="","",IF(OR(C660="Purchase",C660="Fee",C660="Withdrawal"),-(H660+I660),H660-I660))</f>
        <v/>
      </c>
      <c r="K660" s="2"/>
      <c r="L660" s="2"/>
      <c r="M660" s="2"/>
    </row>
    <row r="661" customFormat="false" ht="15" hidden="false" customHeight="false" outlineLevel="0" collapsed="false">
      <c r="A661" s="2"/>
      <c r="B661" s="11"/>
      <c r="C661" s="2"/>
      <c r="D661" s="2"/>
      <c r="E661" s="2"/>
      <c r="F661" s="2"/>
      <c r="G661" s="2"/>
      <c r="H661" s="23"/>
      <c r="I661" s="23"/>
      <c r="J661" s="23" t="str">
        <f aca="false">IF(C661="","",IF(OR(C661="Purchase",C661="Fee",C661="Withdrawal"),-(H661+I661),H661-I661))</f>
        <v/>
      </c>
      <c r="K661" s="2"/>
      <c r="L661" s="2"/>
      <c r="M661" s="2"/>
    </row>
    <row r="662" customFormat="false" ht="15" hidden="false" customHeight="false" outlineLevel="0" collapsed="false">
      <c r="A662" s="2"/>
      <c r="B662" s="11"/>
      <c r="C662" s="2"/>
      <c r="D662" s="2"/>
      <c r="E662" s="2"/>
      <c r="F662" s="2"/>
      <c r="G662" s="2"/>
      <c r="H662" s="23"/>
      <c r="I662" s="23"/>
      <c r="J662" s="23" t="str">
        <f aca="false">IF(C662="","",IF(OR(C662="Purchase",C662="Fee",C662="Withdrawal"),-(H662+I662),H662-I662))</f>
        <v/>
      </c>
      <c r="K662" s="2"/>
      <c r="L662" s="2"/>
      <c r="M662" s="2"/>
    </row>
    <row r="663" customFormat="false" ht="15" hidden="false" customHeight="false" outlineLevel="0" collapsed="false">
      <c r="A663" s="2"/>
      <c r="B663" s="11"/>
      <c r="C663" s="2"/>
      <c r="D663" s="2"/>
      <c r="E663" s="2"/>
      <c r="F663" s="2"/>
      <c r="G663" s="2"/>
      <c r="H663" s="23"/>
      <c r="I663" s="23"/>
      <c r="J663" s="23" t="str">
        <f aca="false">IF(C663="","",IF(OR(C663="Purchase",C663="Fee",C663="Withdrawal"),-(H663+I663),H663-I663))</f>
        <v/>
      </c>
      <c r="K663" s="2"/>
      <c r="L663" s="2"/>
      <c r="M663" s="2"/>
    </row>
    <row r="664" customFormat="false" ht="15" hidden="false" customHeight="false" outlineLevel="0" collapsed="false">
      <c r="A664" s="2"/>
      <c r="B664" s="11"/>
      <c r="C664" s="2"/>
      <c r="D664" s="2"/>
      <c r="E664" s="2"/>
      <c r="F664" s="2"/>
      <c r="G664" s="2"/>
      <c r="H664" s="23"/>
      <c r="I664" s="23"/>
      <c r="J664" s="23" t="str">
        <f aca="false">IF(C664="","",IF(OR(C664="Purchase",C664="Fee",C664="Withdrawal"),-(H664+I664),H664-I664))</f>
        <v/>
      </c>
      <c r="K664" s="2"/>
      <c r="L664" s="2"/>
      <c r="M664" s="2"/>
    </row>
    <row r="665" customFormat="false" ht="15" hidden="false" customHeight="false" outlineLevel="0" collapsed="false">
      <c r="A665" s="2"/>
      <c r="B665" s="11"/>
      <c r="C665" s="2"/>
      <c r="D665" s="2"/>
      <c r="E665" s="2"/>
      <c r="F665" s="2"/>
      <c r="G665" s="2"/>
      <c r="H665" s="23"/>
      <c r="I665" s="23"/>
      <c r="J665" s="23" t="str">
        <f aca="false">IF(C665="","",IF(OR(C665="Purchase",C665="Fee",C665="Withdrawal"),-(H665+I665),H665-I665))</f>
        <v/>
      </c>
      <c r="K665" s="2"/>
      <c r="L665" s="2"/>
      <c r="M665" s="2"/>
    </row>
    <row r="666" customFormat="false" ht="15" hidden="false" customHeight="false" outlineLevel="0" collapsed="false">
      <c r="A666" s="2"/>
      <c r="B666" s="11"/>
      <c r="C666" s="2"/>
      <c r="D666" s="2"/>
      <c r="E666" s="2"/>
      <c r="F666" s="2"/>
      <c r="G666" s="2"/>
      <c r="H666" s="23"/>
      <c r="I666" s="23"/>
      <c r="J666" s="23" t="str">
        <f aca="false">IF(C666="","",IF(OR(C666="Purchase",C666="Fee",C666="Withdrawal"),-(H666+I666),H666-I666))</f>
        <v/>
      </c>
      <c r="K666" s="2"/>
      <c r="L666" s="2"/>
      <c r="M666" s="2"/>
    </row>
    <row r="667" customFormat="false" ht="15" hidden="false" customHeight="false" outlineLevel="0" collapsed="false">
      <c r="A667" s="2"/>
      <c r="B667" s="11"/>
      <c r="C667" s="2"/>
      <c r="D667" s="2"/>
      <c r="E667" s="2"/>
      <c r="F667" s="2"/>
      <c r="G667" s="2"/>
      <c r="H667" s="23"/>
      <c r="I667" s="23"/>
      <c r="J667" s="23" t="str">
        <f aca="false">IF(C667="","",IF(OR(C667="Purchase",C667="Fee",C667="Withdrawal"),-(H667+I667),H667-I667))</f>
        <v/>
      </c>
      <c r="K667" s="2"/>
      <c r="L667" s="2"/>
      <c r="M667" s="2"/>
    </row>
    <row r="668" customFormat="false" ht="15" hidden="false" customHeight="false" outlineLevel="0" collapsed="false">
      <c r="A668" s="2"/>
      <c r="B668" s="11"/>
      <c r="C668" s="2"/>
      <c r="D668" s="2"/>
      <c r="E668" s="2"/>
      <c r="F668" s="2"/>
      <c r="G668" s="2"/>
      <c r="H668" s="23"/>
      <c r="I668" s="23"/>
      <c r="J668" s="23" t="str">
        <f aca="false">IF(C668="","",IF(OR(C668="Purchase",C668="Fee",C668="Withdrawal"),-(H668+I668),H668-I668))</f>
        <v/>
      </c>
      <c r="K668" s="2"/>
      <c r="L668" s="2"/>
      <c r="M668" s="2"/>
    </row>
    <row r="669" customFormat="false" ht="15" hidden="false" customHeight="false" outlineLevel="0" collapsed="false">
      <c r="A669" s="2"/>
      <c r="B669" s="11"/>
      <c r="C669" s="2"/>
      <c r="D669" s="2"/>
      <c r="E669" s="2"/>
      <c r="F669" s="2"/>
      <c r="G669" s="2"/>
      <c r="H669" s="23"/>
      <c r="I669" s="23"/>
      <c r="J669" s="23" t="str">
        <f aca="false">IF(C669="","",IF(OR(C669="Purchase",C669="Fee",C669="Withdrawal"),-(H669+I669),H669-I669))</f>
        <v/>
      </c>
      <c r="K669" s="2"/>
      <c r="L669" s="2"/>
      <c r="M669" s="2"/>
    </row>
    <row r="670" customFormat="false" ht="15" hidden="false" customHeight="false" outlineLevel="0" collapsed="false">
      <c r="A670" s="2"/>
      <c r="B670" s="11"/>
      <c r="C670" s="2"/>
      <c r="D670" s="2"/>
      <c r="E670" s="2"/>
      <c r="F670" s="2"/>
      <c r="G670" s="2"/>
      <c r="H670" s="23"/>
      <c r="I670" s="23"/>
      <c r="J670" s="23" t="str">
        <f aca="false">IF(C670="","",IF(OR(C670="Purchase",C670="Fee",C670="Withdrawal"),-(H670+I670),H670-I670))</f>
        <v/>
      </c>
      <c r="K670" s="2"/>
      <c r="L670" s="2"/>
      <c r="M670" s="2"/>
    </row>
    <row r="671" customFormat="false" ht="15" hidden="false" customHeight="false" outlineLevel="0" collapsed="false">
      <c r="A671" s="2"/>
      <c r="B671" s="11"/>
      <c r="C671" s="2"/>
      <c r="D671" s="2"/>
      <c r="E671" s="2"/>
      <c r="F671" s="2"/>
      <c r="G671" s="2"/>
      <c r="H671" s="23"/>
      <c r="I671" s="23"/>
      <c r="J671" s="23" t="str">
        <f aca="false">IF(C671="","",IF(OR(C671="Purchase",C671="Fee",C671="Withdrawal"),-(H671+I671),H671-I671))</f>
        <v/>
      </c>
      <c r="K671" s="2"/>
      <c r="L671" s="2"/>
      <c r="M671" s="2"/>
    </row>
    <row r="672" customFormat="false" ht="15" hidden="false" customHeight="false" outlineLevel="0" collapsed="false">
      <c r="A672" s="2"/>
      <c r="B672" s="11"/>
      <c r="C672" s="2"/>
      <c r="D672" s="2"/>
      <c r="E672" s="2"/>
      <c r="F672" s="2"/>
      <c r="G672" s="2"/>
      <c r="H672" s="23"/>
      <c r="I672" s="23"/>
      <c r="J672" s="23" t="str">
        <f aca="false">IF(C672="","",IF(OR(C672="Purchase",C672="Fee",C672="Withdrawal"),-(H672+I672),H672-I672))</f>
        <v/>
      </c>
      <c r="K672" s="2"/>
      <c r="L672" s="2"/>
      <c r="M672" s="2"/>
    </row>
    <row r="673" customFormat="false" ht="15" hidden="false" customHeight="false" outlineLevel="0" collapsed="false">
      <c r="A673" s="2"/>
      <c r="B673" s="11"/>
      <c r="C673" s="2"/>
      <c r="D673" s="2"/>
      <c r="E673" s="2"/>
      <c r="F673" s="2"/>
      <c r="G673" s="2"/>
      <c r="H673" s="23"/>
      <c r="I673" s="23"/>
      <c r="J673" s="23" t="str">
        <f aca="false">IF(C673="","",IF(OR(C673="Purchase",C673="Fee",C673="Withdrawal"),-(H673+I673),H673-I673))</f>
        <v/>
      </c>
      <c r="K673" s="2"/>
      <c r="L673" s="2"/>
      <c r="M673" s="2"/>
    </row>
    <row r="674" customFormat="false" ht="15" hidden="false" customHeight="false" outlineLevel="0" collapsed="false">
      <c r="A674" s="2"/>
      <c r="B674" s="11"/>
      <c r="C674" s="2"/>
      <c r="D674" s="2"/>
      <c r="E674" s="2"/>
      <c r="F674" s="2"/>
      <c r="G674" s="2"/>
      <c r="H674" s="23"/>
      <c r="I674" s="23"/>
      <c r="J674" s="23" t="str">
        <f aca="false">IF(C674="","",IF(OR(C674="Purchase",C674="Fee",C674="Withdrawal"),-(H674+I674),H674-I674))</f>
        <v/>
      </c>
      <c r="K674" s="2"/>
      <c r="L674" s="2"/>
      <c r="M674" s="2"/>
    </row>
    <row r="675" customFormat="false" ht="15" hidden="false" customHeight="false" outlineLevel="0" collapsed="false">
      <c r="A675" s="2"/>
      <c r="B675" s="11"/>
      <c r="C675" s="2"/>
      <c r="D675" s="2"/>
      <c r="E675" s="2"/>
      <c r="F675" s="2"/>
      <c r="G675" s="2"/>
      <c r="H675" s="23"/>
      <c r="I675" s="23"/>
      <c r="J675" s="23" t="str">
        <f aca="false">IF(C675="","",IF(OR(C675="Purchase",C675="Fee",C675="Withdrawal"),-(H675+I675),H675-I675))</f>
        <v/>
      </c>
      <c r="K675" s="2"/>
      <c r="L675" s="2"/>
      <c r="M675" s="2"/>
    </row>
    <row r="676" customFormat="false" ht="15" hidden="false" customHeight="false" outlineLevel="0" collapsed="false">
      <c r="A676" s="2"/>
      <c r="B676" s="11"/>
      <c r="C676" s="2"/>
      <c r="D676" s="2"/>
      <c r="E676" s="2"/>
      <c r="F676" s="2"/>
      <c r="G676" s="2"/>
      <c r="H676" s="23"/>
      <c r="I676" s="23"/>
      <c r="J676" s="23" t="str">
        <f aca="false">IF(C676="","",IF(OR(C676="Purchase",C676="Fee",C676="Withdrawal"),-(H676+I676),H676-I676))</f>
        <v/>
      </c>
      <c r="K676" s="2"/>
      <c r="L676" s="2"/>
      <c r="M676" s="2"/>
    </row>
    <row r="677" customFormat="false" ht="15" hidden="false" customHeight="false" outlineLevel="0" collapsed="false">
      <c r="A677" s="2"/>
      <c r="B677" s="11"/>
      <c r="C677" s="2"/>
      <c r="D677" s="2"/>
      <c r="E677" s="2"/>
      <c r="F677" s="2"/>
      <c r="G677" s="2"/>
      <c r="H677" s="23"/>
      <c r="I677" s="23"/>
      <c r="J677" s="23" t="str">
        <f aca="false">IF(C677="","",IF(OR(C677="Purchase",C677="Fee",C677="Withdrawal"),-(H677+I677),H677-I677))</f>
        <v/>
      </c>
      <c r="K677" s="2"/>
      <c r="L677" s="2"/>
      <c r="M677" s="2"/>
    </row>
    <row r="678" customFormat="false" ht="15" hidden="false" customHeight="false" outlineLevel="0" collapsed="false">
      <c r="A678" s="2"/>
      <c r="B678" s="11"/>
      <c r="C678" s="2"/>
      <c r="D678" s="2"/>
      <c r="E678" s="2"/>
      <c r="F678" s="2"/>
      <c r="G678" s="2"/>
      <c r="H678" s="23"/>
      <c r="I678" s="23"/>
      <c r="J678" s="23" t="str">
        <f aca="false">IF(C678="","",IF(OR(C678="Purchase",C678="Fee",C678="Withdrawal"),-(H678+I678),H678-I678))</f>
        <v/>
      </c>
      <c r="K678" s="2"/>
      <c r="L678" s="2"/>
      <c r="M678" s="2"/>
    </row>
    <row r="679" customFormat="false" ht="15" hidden="false" customHeight="false" outlineLevel="0" collapsed="false">
      <c r="A679" s="2"/>
      <c r="B679" s="11"/>
      <c r="C679" s="2"/>
      <c r="D679" s="2"/>
      <c r="E679" s="2"/>
      <c r="F679" s="2"/>
      <c r="G679" s="2"/>
      <c r="H679" s="23"/>
      <c r="I679" s="23"/>
      <c r="J679" s="23" t="str">
        <f aca="false">IF(C679="","",IF(OR(C679="Purchase",C679="Fee",C679="Withdrawal"),-(H679+I679),H679-I679))</f>
        <v/>
      </c>
      <c r="K679" s="2"/>
      <c r="L679" s="2"/>
      <c r="M679" s="2"/>
    </row>
    <row r="680" customFormat="false" ht="15" hidden="false" customHeight="false" outlineLevel="0" collapsed="false">
      <c r="A680" s="2"/>
      <c r="B680" s="11"/>
      <c r="C680" s="2"/>
      <c r="D680" s="2"/>
      <c r="E680" s="2"/>
      <c r="F680" s="2"/>
      <c r="G680" s="2"/>
      <c r="H680" s="23"/>
      <c r="I680" s="23"/>
      <c r="J680" s="23" t="str">
        <f aca="false">IF(C680="","",IF(OR(C680="Purchase",C680="Fee",C680="Withdrawal"),-(H680+I680),H680-I680))</f>
        <v/>
      </c>
      <c r="K680" s="2"/>
      <c r="L680" s="2"/>
      <c r="M680" s="2"/>
    </row>
    <row r="681" customFormat="false" ht="15" hidden="false" customHeight="false" outlineLevel="0" collapsed="false">
      <c r="A681" s="2"/>
      <c r="B681" s="11"/>
      <c r="C681" s="2"/>
      <c r="D681" s="2"/>
      <c r="E681" s="2"/>
      <c r="F681" s="2"/>
      <c r="G681" s="2"/>
      <c r="H681" s="23"/>
      <c r="I681" s="23"/>
      <c r="J681" s="23" t="str">
        <f aca="false">IF(C681="","",IF(OR(C681="Purchase",C681="Fee",C681="Withdrawal"),-(H681+I681),H681-I681))</f>
        <v/>
      </c>
      <c r="K681" s="2"/>
      <c r="L681" s="2"/>
      <c r="M681" s="2"/>
    </row>
    <row r="682" customFormat="false" ht="15" hidden="false" customHeight="false" outlineLevel="0" collapsed="false">
      <c r="A682" s="2"/>
      <c r="B682" s="11"/>
      <c r="C682" s="2"/>
      <c r="D682" s="2"/>
      <c r="E682" s="2"/>
      <c r="F682" s="2"/>
      <c r="G682" s="2"/>
      <c r="H682" s="23"/>
      <c r="I682" s="23"/>
      <c r="J682" s="23" t="str">
        <f aca="false">IF(C682="","",IF(OR(C682="Purchase",C682="Fee",C682="Withdrawal"),-(H682+I682),H682-I682))</f>
        <v/>
      </c>
      <c r="K682" s="2"/>
      <c r="L682" s="2"/>
      <c r="M682" s="2"/>
    </row>
    <row r="683" customFormat="false" ht="15" hidden="false" customHeight="false" outlineLevel="0" collapsed="false">
      <c r="A683" s="2"/>
      <c r="B683" s="11"/>
      <c r="C683" s="2"/>
      <c r="D683" s="2"/>
      <c r="E683" s="2"/>
      <c r="F683" s="2"/>
      <c r="G683" s="2"/>
      <c r="H683" s="23"/>
      <c r="I683" s="23"/>
      <c r="J683" s="23" t="str">
        <f aca="false">IF(C683="","",IF(OR(C683="Purchase",C683="Fee",C683="Withdrawal"),-(H683+I683),H683-I683))</f>
        <v/>
      </c>
      <c r="K683" s="2"/>
      <c r="L683" s="2"/>
      <c r="M683" s="2"/>
    </row>
    <row r="684" customFormat="false" ht="15" hidden="false" customHeight="false" outlineLevel="0" collapsed="false">
      <c r="A684" s="2"/>
      <c r="B684" s="11"/>
      <c r="C684" s="2"/>
      <c r="D684" s="2"/>
      <c r="E684" s="2"/>
      <c r="F684" s="2"/>
      <c r="G684" s="2"/>
      <c r="H684" s="23"/>
      <c r="I684" s="23"/>
      <c r="J684" s="23" t="str">
        <f aca="false">IF(C684="","",IF(OR(C684="Purchase",C684="Fee",C684="Withdrawal"),-(H684+I684),H684-I684))</f>
        <v/>
      </c>
      <c r="K684" s="2"/>
      <c r="L684" s="2"/>
      <c r="M684" s="2"/>
    </row>
    <row r="685" customFormat="false" ht="15" hidden="false" customHeight="false" outlineLevel="0" collapsed="false">
      <c r="A685" s="2"/>
      <c r="B685" s="11"/>
      <c r="C685" s="2"/>
      <c r="D685" s="2"/>
      <c r="E685" s="2"/>
      <c r="F685" s="2"/>
      <c r="G685" s="2"/>
      <c r="H685" s="23"/>
      <c r="I685" s="23"/>
      <c r="J685" s="23" t="str">
        <f aca="false">IF(C685="","",IF(OR(C685="Purchase",C685="Fee",C685="Withdrawal"),-(H685+I685),H685-I685))</f>
        <v/>
      </c>
      <c r="K685" s="2"/>
      <c r="L685" s="2"/>
      <c r="M685" s="2"/>
    </row>
    <row r="686" customFormat="false" ht="15" hidden="false" customHeight="false" outlineLevel="0" collapsed="false">
      <c r="A686" s="2"/>
      <c r="B686" s="11"/>
      <c r="C686" s="2"/>
      <c r="D686" s="2"/>
      <c r="E686" s="2"/>
      <c r="F686" s="2"/>
      <c r="G686" s="2"/>
      <c r="H686" s="23"/>
      <c r="I686" s="23"/>
      <c r="J686" s="23" t="str">
        <f aca="false">IF(C686="","",IF(OR(C686="Purchase",C686="Fee",C686="Withdrawal"),-(H686+I686),H686-I686))</f>
        <v/>
      </c>
      <c r="K686" s="2"/>
      <c r="L686" s="2"/>
      <c r="M686" s="2"/>
    </row>
    <row r="687" customFormat="false" ht="15" hidden="false" customHeight="false" outlineLevel="0" collapsed="false">
      <c r="A687" s="2"/>
      <c r="B687" s="11"/>
      <c r="C687" s="2"/>
      <c r="D687" s="2"/>
      <c r="E687" s="2"/>
      <c r="F687" s="2"/>
      <c r="G687" s="2"/>
      <c r="H687" s="23"/>
      <c r="I687" s="23"/>
      <c r="J687" s="23" t="str">
        <f aca="false">IF(C687="","",IF(OR(C687="Purchase",C687="Fee",C687="Withdrawal"),-(H687+I687),H687-I687))</f>
        <v/>
      </c>
      <c r="K687" s="2"/>
      <c r="L687" s="2"/>
      <c r="M687" s="2"/>
    </row>
    <row r="688" customFormat="false" ht="15" hidden="false" customHeight="false" outlineLevel="0" collapsed="false">
      <c r="A688" s="2"/>
      <c r="B688" s="11"/>
      <c r="C688" s="2"/>
      <c r="D688" s="2"/>
      <c r="E688" s="2"/>
      <c r="F688" s="2"/>
      <c r="G688" s="2"/>
      <c r="H688" s="23"/>
      <c r="I688" s="23"/>
      <c r="J688" s="23" t="str">
        <f aca="false">IF(C688="","",IF(OR(C688="Purchase",C688="Fee",C688="Withdrawal"),-(H688+I688),H688-I688))</f>
        <v/>
      </c>
      <c r="K688" s="2"/>
      <c r="L688" s="2"/>
      <c r="M688" s="2"/>
    </row>
    <row r="689" customFormat="false" ht="15" hidden="false" customHeight="false" outlineLevel="0" collapsed="false">
      <c r="A689" s="2"/>
      <c r="B689" s="11"/>
      <c r="C689" s="2"/>
      <c r="D689" s="2"/>
      <c r="E689" s="2"/>
      <c r="F689" s="2"/>
      <c r="G689" s="2"/>
      <c r="H689" s="23"/>
      <c r="I689" s="23"/>
      <c r="J689" s="23" t="str">
        <f aca="false">IF(C689="","",IF(OR(C689="Purchase",C689="Fee",C689="Withdrawal"),-(H689+I689),H689-I689))</f>
        <v/>
      </c>
      <c r="K689" s="2"/>
      <c r="L689" s="2"/>
      <c r="M689" s="2"/>
    </row>
    <row r="690" customFormat="false" ht="15" hidden="false" customHeight="false" outlineLevel="0" collapsed="false">
      <c r="A690" s="2"/>
      <c r="B690" s="11"/>
      <c r="C690" s="2"/>
      <c r="D690" s="2"/>
      <c r="E690" s="2"/>
      <c r="F690" s="2"/>
      <c r="G690" s="2"/>
      <c r="H690" s="23"/>
      <c r="I690" s="23"/>
      <c r="J690" s="23" t="str">
        <f aca="false">IF(C690="","",IF(OR(C690="Purchase",C690="Fee",C690="Withdrawal"),-(H690+I690),H690-I690))</f>
        <v/>
      </c>
      <c r="K690" s="2"/>
      <c r="L690" s="2"/>
      <c r="M690" s="2"/>
    </row>
    <row r="691" customFormat="false" ht="15" hidden="false" customHeight="false" outlineLevel="0" collapsed="false">
      <c r="A691" s="2"/>
      <c r="B691" s="11"/>
      <c r="C691" s="2"/>
      <c r="D691" s="2"/>
      <c r="E691" s="2"/>
      <c r="F691" s="2"/>
      <c r="G691" s="2"/>
      <c r="H691" s="23"/>
      <c r="I691" s="23"/>
      <c r="J691" s="23" t="str">
        <f aca="false">IF(C691="","",IF(OR(C691="Purchase",C691="Fee",C691="Withdrawal"),-(H691+I691),H691-I691))</f>
        <v/>
      </c>
      <c r="K691" s="2"/>
      <c r="L691" s="2"/>
      <c r="M691" s="2"/>
    </row>
    <row r="692" customFormat="false" ht="15" hidden="false" customHeight="false" outlineLevel="0" collapsed="false">
      <c r="A692" s="2"/>
      <c r="B692" s="11"/>
      <c r="C692" s="2"/>
      <c r="D692" s="2"/>
      <c r="E692" s="2"/>
      <c r="F692" s="2"/>
      <c r="G692" s="2"/>
      <c r="H692" s="23"/>
      <c r="I692" s="23"/>
      <c r="J692" s="23" t="str">
        <f aca="false">IF(C692="","",IF(OR(C692="Purchase",C692="Fee",C692="Withdrawal"),-(H692+I692),H692-I692))</f>
        <v/>
      </c>
      <c r="K692" s="2"/>
      <c r="L692" s="2"/>
      <c r="M692" s="2"/>
    </row>
    <row r="693" customFormat="false" ht="15" hidden="false" customHeight="false" outlineLevel="0" collapsed="false">
      <c r="A693" s="2"/>
      <c r="B693" s="11"/>
      <c r="C693" s="2"/>
      <c r="D693" s="2"/>
      <c r="E693" s="2"/>
      <c r="F693" s="2"/>
      <c r="G693" s="2"/>
      <c r="H693" s="23"/>
      <c r="I693" s="23"/>
      <c r="J693" s="23" t="str">
        <f aca="false">IF(C693="","",IF(OR(C693="Purchase",C693="Fee",C693="Withdrawal"),-(H693+I693),H693-I693))</f>
        <v/>
      </c>
      <c r="K693" s="2"/>
      <c r="L693" s="2"/>
      <c r="M693" s="2"/>
    </row>
    <row r="694" customFormat="false" ht="15" hidden="false" customHeight="false" outlineLevel="0" collapsed="false">
      <c r="A694" s="2"/>
      <c r="B694" s="11"/>
      <c r="C694" s="2"/>
      <c r="D694" s="2"/>
      <c r="E694" s="2"/>
      <c r="F694" s="2"/>
      <c r="G694" s="2"/>
      <c r="H694" s="23"/>
      <c r="I694" s="23"/>
      <c r="J694" s="23" t="str">
        <f aca="false">IF(C694="","",IF(OR(C694="Purchase",C694="Fee",C694="Withdrawal"),-(H694+I694),H694-I694))</f>
        <v/>
      </c>
      <c r="K694" s="2"/>
      <c r="L694" s="2"/>
      <c r="M694" s="2"/>
    </row>
    <row r="695" customFormat="false" ht="15" hidden="false" customHeight="false" outlineLevel="0" collapsed="false">
      <c r="A695" s="2"/>
      <c r="B695" s="11"/>
      <c r="C695" s="2"/>
      <c r="D695" s="2"/>
      <c r="E695" s="2"/>
      <c r="F695" s="2"/>
      <c r="G695" s="2"/>
      <c r="H695" s="23"/>
      <c r="I695" s="23"/>
      <c r="J695" s="23" t="str">
        <f aca="false">IF(C695="","",IF(OR(C695="Purchase",C695="Fee",C695="Withdrawal"),-(H695+I695),H695-I695))</f>
        <v/>
      </c>
      <c r="K695" s="2"/>
      <c r="L695" s="2"/>
      <c r="M695" s="2"/>
    </row>
    <row r="696" customFormat="false" ht="15" hidden="false" customHeight="false" outlineLevel="0" collapsed="false">
      <c r="A696" s="2"/>
      <c r="B696" s="11"/>
      <c r="C696" s="2"/>
      <c r="D696" s="2"/>
      <c r="E696" s="2"/>
      <c r="F696" s="2"/>
      <c r="G696" s="2"/>
      <c r="H696" s="23"/>
      <c r="I696" s="23"/>
      <c r="J696" s="23" t="str">
        <f aca="false">IF(C696="","",IF(OR(C696="Purchase",C696="Fee",C696="Withdrawal"),-(H696+I696),H696-I696))</f>
        <v/>
      </c>
      <c r="K696" s="2"/>
      <c r="L696" s="2"/>
      <c r="M696" s="2"/>
    </row>
    <row r="697" customFormat="false" ht="15" hidden="false" customHeight="false" outlineLevel="0" collapsed="false">
      <c r="A697" s="2"/>
      <c r="B697" s="11"/>
      <c r="C697" s="2"/>
      <c r="D697" s="2"/>
      <c r="E697" s="2"/>
      <c r="F697" s="2"/>
      <c r="G697" s="2"/>
      <c r="H697" s="23"/>
      <c r="I697" s="23"/>
      <c r="J697" s="23" t="str">
        <f aca="false">IF(C697="","",IF(OR(C697="Purchase",C697="Fee",C697="Withdrawal"),-(H697+I697),H697-I697))</f>
        <v/>
      </c>
      <c r="K697" s="2"/>
      <c r="L697" s="2"/>
      <c r="M697" s="2"/>
    </row>
    <row r="698" customFormat="false" ht="15" hidden="false" customHeight="false" outlineLevel="0" collapsed="false">
      <c r="A698" s="2"/>
      <c r="B698" s="11"/>
      <c r="C698" s="2"/>
      <c r="D698" s="2"/>
      <c r="E698" s="2"/>
      <c r="F698" s="2"/>
      <c r="G698" s="2"/>
      <c r="H698" s="23"/>
      <c r="I698" s="23"/>
      <c r="J698" s="23" t="str">
        <f aca="false">IF(C698="","",IF(OR(C698="Purchase",C698="Fee",C698="Withdrawal"),-(H698+I698),H698-I698))</f>
        <v/>
      </c>
      <c r="K698" s="2"/>
      <c r="L698" s="2"/>
      <c r="M698" s="2"/>
    </row>
    <row r="699" customFormat="false" ht="15" hidden="false" customHeight="false" outlineLevel="0" collapsed="false">
      <c r="A699" s="2"/>
      <c r="B699" s="11"/>
      <c r="C699" s="2"/>
      <c r="D699" s="2"/>
      <c r="E699" s="2"/>
      <c r="F699" s="2"/>
      <c r="G699" s="2"/>
      <c r="H699" s="23"/>
      <c r="I699" s="23"/>
      <c r="J699" s="23" t="str">
        <f aca="false">IF(C699="","",IF(OR(C699="Purchase",C699="Fee",C699="Withdrawal"),-(H699+I699),H699-I699))</f>
        <v/>
      </c>
      <c r="K699" s="2"/>
      <c r="L699" s="2"/>
      <c r="M699" s="2"/>
    </row>
    <row r="700" customFormat="false" ht="15" hidden="false" customHeight="false" outlineLevel="0" collapsed="false">
      <c r="A700" s="2"/>
      <c r="B700" s="11"/>
      <c r="C700" s="2"/>
      <c r="D700" s="2"/>
      <c r="E700" s="2"/>
      <c r="F700" s="2"/>
      <c r="G700" s="2"/>
      <c r="H700" s="23"/>
      <c r="I700" s="23"/>
      <c r="J700" s="23" t="str">
        <f aca="false">IF(C700="","",IF(OR(C700="Purchase",C700="Fee",C700="Withdrawal"),-(H700+I700),H700-I700))</f>
        <v/>
      </c>
      <c r="K700" s="2"/>
      <c r="L700" s="2"/>
      <c r="M700" s="2"/>
    </row>
    <row r="701" customFormat="false" ht="15" hidden="false" customHeight="false" outlineLevel="0" collapsed="false">
      <c r="A701" s="2"/>
      <c r="B701" s="11"/>
      <c r="C701" s="2"/>
      <c r="D701" s="2"/>
      <c r="E701" s="2"/>
      <c r="F701" s="2"/>
      <c r="G701" s="2"/>
      <c r="H701" s="23"/>
      <c r="I701" s="23"/>
      <c r="J701" s="23" t="str">
        <f aca="false">IF(C701="","",IF(OR(C701="Purchase",C701="Fee",C701="Withdrawal"),-(H701+I701),H701-I701))</f>
        <v/>
      </c>
      <c r="K701" s="2"/>
      <c r="L701" s="2"/>
      <c r="M701" s="2"/>
    </row>
    <row r="702" customFormat="false" ht="15" hidden="false" customHeight="false" outlineLevel="0" collapsed="false">
      <c r="A702" s="2"/>
      <c r="B702" s="11"/>
      <c r="C702" s="2"/>
      <c r="D702" s="2"/>
      <c r="E702" s="2"/>
      <c r="F702" s="2"/>
      <c r="G702" s="2"/>
      <c r="H702" s="23"/>
      <c r="I702" s="23"/>
      <c r="J702" s="23" t="str">
        <f aca="false">IF(C702="","",IF(OR(C702="Purchase",C702="Fee",C702="Withdrawal"),-(H702+I702),H702-I702))</f>
        <v/>
      </c>
      <c r="K702" s="2"/>
      <c r="L702" s="2"/>
      <c r="M702" s="2"/>
    </row>
    <row r="703" customFormat="false" ht="15" hidden="false" customHeight="false" outlineLevel="0" collapsed="false">
      <c r="A703" s="2"/>
      <c r="B703" s="11"/>
      <c r="C703" s="2"/>
      <c r="D703" s="2"/>
      <c r="E703" s="2"/>
      <c r="F703" s="2"/>
      <c r="G703" s="2"/>
      <c r="H703" s="23"/>
      <c r="I703" s="23"/>
      <c r="J703" s="23" t="str">
        <f aca="false">IF(C703="","",IF(OR(C703="Purchase",C703="Fee",C703="Withdrawal"),-(H703+I703),H703-I703))</f>
        <v/>
      </c>
      <c r="K703" s="2"/>
      <c r="L703" s="2"/>
      <c r="M703" s="2"/>
    </row>
    <row r="704" customFormat="false" ht="15" hidden="false" customHeight="false" outlineLevel="0" collapsed="false">
      <c r="A704" s="2"/>
      <c r="B704" s="11"/>
      <c r="C704" s="2"/>
      <c r="D704" s="2"/>
      <c r="E704" s="2"/>
      <c r="F704" s="2"/>
      <c r="G704" s="2"/>
      <c r="H704" s="23"/>
      <c r="I704" s="23"/>
      <c r="J704" s="23" t="str">
        <f aca="false">IF(C704="","",IF(OR(C704="Purchase",C704="Fee",C704="Withdrawal"),-(H704+I704),H704-I704))</f>
        <v/>
      </c>
      <c r="K704" s="2"/>
      <c r="L704" s="2"/>
      <c r="M704" s="2"/>
    </row>
    <row r="705" customFormat="false" ht="15" hidden="false" customHeight="false" outlineLevel="0" collapsed="false">
      <c r="A705" s="2"/>
      <c r="B705" s="11"/>
      <c r="C705" s="2"/>
      <c r="D705" s="2"/>
      <c r="E705" s="2"/>
      <c r="F705" s="2"/>
      <c r="G705" s="2"/>
      <c r="H705" s="23"/>
      <c r="I705" s="23"/>
      <c r="J705" s="23" t="str">
        <f aca="false">IF(C705="","",IF(OR(C705="Purchase",C705="Fee",C705="Withdrawal"),-(H705+I705),H705-I705))</f>
        <v/>
      </c>
      <c r="K705" s="2"/>
      <c r="L705" s="2"/>
      <c r="M705" s="2"/>
    </row>
    <row r="706" customFormat="false" ht="15" hidden="false" customHeight="false" outlineLevel="0" collapsed="false">
      <c r="A706" s="2"/>
      <c r="B706" s="11"/>
      <c r="C706" s="2"/>
      <c r="D706" s="2"/>
      <c r="E706" s="2"/>
      <c r="F706" s="2"/>
      <c r="G706" s="2"/>
      <c r="H706" s="23"/>
      <c r="I706" s="23"/>
      <c r="J706" s="23" t="str">
        <f aca="false">IF(C706="","",IF(OR(C706="Purchase",C706="Fee",C706="Withdrawal"),-(H706+I706),H706-I706))</f>
        <v/>
      </c>
      <c r="K706" s="2"/>
      <c r="L706" s="2"/>
      <c r="M706" s="2"/>
    </row>
    <row r="707" customFormat="false" ht="15" hidden="false" customHeight="false" outlineLevel="0" collapsed="false">
      <c r="A707" s="2"/>
      <c r="B707" s="11"/>
      <c r="C707" s="2"/>
      <c r="D707" s="2"/>
      <c r="E707" s="2"/>
      <c r="F707" s="2"/>
      <c r="G707" s="2"/>
      <c r="H707" s="23"/>
      <c r="I707" s="23"/>
      <c r="J707" s="23" t="str">
        <f aca="false">IF(C707="","",IF(OR(C707="Purchase",C707="Fee",C707="Withdrawal"),-(H707+I707),H707-I707))</f>
        <v/>
      </c>
      <c r="K707" s="2"/>
      <c r="L707" s="2"/>
      <c r="M707" s="2"/>
    </row>
    <row r="708" customFormat="false" ht="15" hidden="false" customHeight="false" outlineLevel="0" collapsed="false">
      <c r="A708" s="2"/>
      <c r="B708" s="11"/>
      <c r="C708" s="2"/>
      <c r="D708" s="2"/>
      <c r="E708" s="2"/>
      <c r="F708" s="2"/>
      <c r="G708" s="2"/>
      <c r="H708" s="23"/>
      <c r="I708" s="23"/>
      <c r="J708" s="23" t="str">
        <f aca="false">IF(C708="","",IF(OR(C708="Purchase",C708="Fee",C708="Withdrawal"),-(H708+I708),H708-I708))</f>
        <v/>
      </c>
      <c r="K708" s="2"/>
      <c r="L708" s="2"/>
      <c r="M708" s="2"/>
    </row>
    <row r="709" customFormat="false" ht="15" hidden="false" customHeight="false" outlineLevel="0" collapsed="false">
      <c r="A709" s="2"/>
      <c r="B709" s="11"/>
      <c r="C709" s="2"/>
      <c r="D709" s="2"/>
      <c r="E709" s="2"/>
      <c r="F709" s="2"/>
      <c r="G709" s="2"/>
      <c r="H709" s="23"/>
      <c r="I709" s="23"/>
      <c r="J709" s="23" t="str">
        <f aca="false">IF(C709="","",IF(OR(C709="Purchase",C709="Fee",C709="Withdrawal"),-(H709+I709),H709-I709))</f>
        <v/>
      </c>
      <c r="K709" s="2"/>
      <c r="L709" s="2"/>
      <c r="M709" s="2"/>
    </row>
    <row r="710" customFormat="false" ht="15" hidden="false" customHeight="false" outlineLevel="0" collapsed="false">
      <c r="A710" s="2"/>
      <c r="B710" s="11"/>
      <c r="C710" s="2"/>
      <c r="D710" s="2"/>
      <c r="E710" s="2"/>
      <c r="F710" s="2"/>
      <c r="G710" s="2"/>
      <c r="H710" s="23"/>
      <c r="I710" s="23"/>
      <c r="J710" s="23" t="str">
        <f aca="false">IF(C710="","",IF(OR(C710="Purchase",C710="Fee",C710="Withdrawal"),-(H710+I710),H710-I710))</f>
        <v/>
      </c>
      <c r="K710" s="2"/>
      <c r="L710" s="2"/>
      <c r="M710" s="2"/>
    </row>
    <row r="711" customFormat="false" ht="15" hidden="false" customHeight="false" outlineLevel="0" collapsed="false">
      <c r="A711" s="2"/>
      <c r="B711" s="11"/>
      <c r="C711" s="2"/>
      <c r="D711" s="2"/>
      <c r="E711" s="2"/>
      <c r="F711" s="2"/>
      <c r="G711" s="2"/>
      <c r="H711" s="23"/>
      <c r="I711" s="23"/>
      <c r="J711" s="23" t="str">
        <f aca="false">IF(C711="","",IF(OR(C711="Purchase",C711="Fee",C711="Withdrawal"),-(H711+I711),H711-I711))</f>
        <v/>
      </c>
      <c r="K711" s="2"/>
      <c r="L711" s="2"/>
      <c r="M711" s="2"/>
    </row>
    <row r="712" customFormat="false" ht="15" hidden="false" customHeight="false" outlineLevel="0" collapsed="false">
      <c r="A712" s="2"/>
      <c r="B712" s="11"/>
      <c r="C712" s="2"/>
      <c r="D712" s="2"/>
      <c r="E712" s="2"/>
      <c r="F712" s="2"/>
      <c r="G712" s="2"/>
      <c r="H712" s="23"/>
      <c r="I712" s="23"/>
      <c r="J712" s="23" t="str">
        <f aca="false">IF(C712="","",IF(OR(C712="Purchase",C712="Fee",C712="Withdrawal"),-(H712+I712),H712-I712))</f>
        <v/>
      </c>
      <c r="K712" s="2"/>
      <c r="L712" s="2"/>
      <c r="M712" s="2"/>
    </row>
    <row r="713" customFormat="false" ht="15" hidden="false" customHeight="false" outlineLevel="0" collapsed="false">
      <c r="A713" s="2"/>
      <c r="B713" s="11"/>
      <c r="C713" s="2"/>
      <c r="D713" s="2"/>
      <c r="E713" s="2"/>
      <c r="F713" s="2"/>
      <c r="G713" s="2"/>
      <c r="H713" s="23"/>
      <c r="I713" s="23"/>
      <c r="J713" s="23" t="str">
        <f aca="false">IF(C713="","",IF(OR(C713="Purchase",C713="Fee",C713="Withdrawal"),-(H713+I713),H713-I713))</f>
        <v/>
      </c>
      <c r="K713" s="2"/>
      <c r="L713" s="2"/>
      <c r="M713" s="2"/>
    </row>
    <row r="714" customFormat="false" ht="15" hidden="false" customHeight="false" outlineLevel="0" collapsed="false">
      <c r="A714" s="2"/>
      <c r="B714" s="11"/>
      <c r="C714" s="2"/>
      <c r="D714" s="2"/>
      <c r="E714" s="2"/>
      <c r="F714" s="2"/>
      <c r="G714" s="2"/>
      <c r="H714" s="23"/>
      <c r="I714" s="23"/>
      <c r="J714" s="23" t="str">
        <f aca="false">IF(C714="","",IF(OR(C714="Purchase",C714="Fee",C714="Withdrawal"),-(H714+I714),H714-I714))</f>
        <v/>
      </c>
      <c r="K714" s="2"/>
      <c r="L714" s="2"/>
      <c r="M714" s="2"/>
    </row>
    <row r="715" customFormat="false" ht="15" hidden="false" customHeight="false" outlineLevel="0" collapsed="false">
      <c r="A715" s="2"/>
      <c r="B715" s="11"/>
      <c r="C715" s="2"/>
      <c r="D715" s="2"/>
      <c r="E715" s="2"/>
      <c r="F715" s="2"/>
      <c r="G715" s="2"/>
      <c r="H715" s="23"/>
      <c r="I715" s="23"/>
      <c r="J715" s="23" t="str">
        <f aca="false">IF(C715="","",IF(OR(C715="Purchase",C715="Fee",C715="Withdrawal"),-(H715+I715),H715-I715))</f>
        <v/>
      </c>
      <c r="K715" s="2"/>
      <c r="L715" s="2"/>
      <c r="M715" s="2"/>
    </row>
    <row r="716" customFormat="false" ht="15" hidden="false" customHeight="false" outlineLevel="0" collapsed="false">
      <c r="A716" s="2"/>
      <c r="B716" s="11"/>
      <c r="C716" s="2"/>
      <c r="D716" s="2"/>
      <c r="E716" s="2"/>
      <c r="F716" s="2"/>
      <c r="G716" s="2"/>
      <c r="H716" s="23"/>
      <c r="I716" s="23"/>
      <c r="J716" s="23" t="str">
        <f aca="false">IF(C716="","",IF(OR(C716="Purchase",C716="Fee",C716="Withdrawal"),-(H716+I716),H716-I716))</f>
        <v/>
      </c>
      <c r="K716" s="2"/>
      <c r="L716" s="2"/>
      <c r="M716" s="2"/>
    </row>
    <row r="717" customFormat="false" ht="15" hidden="false" customHeight="false" outlineLevel="0" collapsed="false">
      <c r="A717" s="2"/>
      <c r="B717" s="11"/>
      <c r="C717" s="2"/>
      <c r="D717" s="2"/>
      <c r="E717" s="2"/>
      <c r="F717" s="2"/>
      <c r="G717" s="2"/>
      <c r="H717" s="23"/>
      <c r="I717" s="23"/>
      <c r="J717" s="23" t="str">
        <f aca="false">IF(C717="","",IF(OR(C717="Purchase",C717="Fee",C717="Withdrawal"),-(H717+I717),H717-I717))</f>
        <v/>
      </c>
      <c r="K717" s="2"/>
      <c r="L717" s="2"/>
      <c r="M717" s="2"/>
    </row>
    <row r="718" customFormat="false" ht="15" hidden="false" customHeight="false" outlineLevel="0" collapsed="false">
      <c r="A718" s="2"/>
      <c r="B718" s="11"/>
      <c r="C718" s="2"/>
      <c r="D718" s="2"/>
      <c r="E718" s="2"/>
      <c r="F718" s="2"/>
      <c r="G718" s="2"/>
      <c r="H718" s="23"/>
      <c r="I718" s="23"/>
      <c r="J718" s="23" t="str">
        <f aca="false">IF(C718="","",IF(OR(C718="Purchase",C718="Fee",C718="Withdrawal"),-(H718+I718),H718-I718))</f>
        <v/>
      </c>
      <c r="K718" s="2"/>
      <c r="L718" s="2"/>
      <c r="M718" s="2"/>
    </row>
    <row r="719" customFormat="false" ht="15" hidden="false" customHeight="false" outlineLevel="0" collapsed="false">
      <c r="A719" s="2"/>
      <c r="B719" s="11"/>
      <c r="C719" s="2"/>
      <c r="D719" s="2"/>
      <c r="E719" s="2"/>
      <c r="F719" s="2"/>
      <c r="G719" s="2"/>
      <c r="H719" s="23"/>
      <c r="I719" s="23"/>
      <c r="J719" s="23" t="str">
        <f aca="false">IF(C719="","",IF(OR(C719="Purchase",C719="Fee",C719="Withdrawal"),-(H719+I719),H719-I719))</f>
        <v/>
      </c>
      <c r="K719" s="2"/>
      <c r="L719" s="2"/>
      <c r="M719" s="2"/>
    </row>
    <row r="720" customFormat="false" ht="15" hidden="false" customHeight="false" outlineLevel="0" collapsed="false">
      <c r="A720" s="2"/>
      <c r="B720" s="11"/>
      <c r="C720" s="2"/>
      <c r="D720" s="2"/>
      <c r="E720" s="2"/>
      <c r="F720" s="2"/>
      <c r="G720" s="2"/>
      <c r="H720" s="23"/>
      <c r="I720" s="23"/>
      <c r="J720" s="23" t="str">
        <f aca="false">IF(C720="","",IF(OR(C720="Purchase",C720="Fee",C720="Withdrawal"),-(H720+I720),H720-I720))</f>
        <v/>
      </c>
      <c r="K720" s="2"/>
      <c r="L720" s="2"/>
      <c r="M720" s="2"/>
    </row>
    <row r="721" customFormat="false" ht="15" hidden="false" customHeight="false" outlineLevel="0" collapsed="false">
      <c r="A721" s="2"/>
      <c r="B721" s="11"/>
      <c r="C721" s="2"/>
      <c r="D721" s="2"/>
      <c r="E721" s="2"/>
      <c r="F721" s="2"/>
      <c r="G721" s="2"/>
      <c r="H721" s="23"/>
      <c r="I721" s="23"/>
      <c r="J721" s="23" t="str">
        <f aca="false">IF(C721="","",IF(OR(C721="Purchase",C721="Fee",C721="Withdrawal"),-(H721+I721),H721-I721))</f>
        <v/>
      </c>
      <c r="K721" s="2"/>
      <c r="L721" s="2"/>
      <c r="M721" s="2"/>
    </row>
    <row r="722" customFormat="false" ht="15" hidden="false" customHeight="false" outlineLevel="0" collapsed="false">
      <c r="A722" s="2"/>
      <c r="B722" s="11"/>
      <c r="C722" s="2"/>
      <c r="D722" s="2"/>
      <c r="E722" s="2"/>
      <c r="F722" s="2"/>
      <c r="G722" s="2"/>
      <c r="H722" s="23"/>
      <c r="I722" s="23"/>
      <c r="J722" s="23" t="str">
        <f aca="false">IF(C722="","",IF(OR(C722="Purchase",C722="Fee",C722="Withdrawal"),-(H722+I722),H722-I722))</f>
        <v/>
      </c>
      <c r="K722" s="2"/>
      <c r="L722" s="2"/>
      <c r="M722" s="2"/>
    </row>
    <row r="723" customFormat="false" ht="15" hidden="false" customHeight="false" outlineLevel="0" collapsed="false">
      <c r="A723" s="2"/>
      <c r="B723" s="11"/>
      <c r="C723" s="2"/>
      <c r="D723" s="2"/>
      <c r="E723" s="2"/>
      <c r="F723" s="2"/>
      <c r="G723" s="2"/>
      <c r="H723" s="23"/>
      <c r="I723" s="23"/>
      <c r="J723" s="23" t="str">
        <f aca="false">IF(C723="","",IF(OR(C723="Purchase",C723="Fee",C723="Withdrawal"),-(H723+I723),H723-I723))</f>
        <v/>
      </c>
      <c r="K723" s="2"/>
      <c r="L723" s="2"/>
      <c r="M723" s="2"/>
    </row>
    <row r="724" customFormat="false" ht="15" hidden="false" customHeight="false" outlineLevel="0" collapsed="false">
      <c r="A724" s="2"/>
      <c r="B724" s="11"/>
      <c r="C724" s="2"/>
      <c r="D724" s="2"/>
      <c r="E724" s="2"/>
      <c r="F724" s="2"/>
      <c r="G724" s="2"/>
      <c r="H724" s="23"/>
      <c r="I724" s="23"/>
      <c r="J724" s="23" t="str">
        <f aca="false">IF(C724="","",IF(OR(C724="Purchase",C724="Fee",C724="Withdrawal"),-(H724+I724),H724-I724))</f>
        <v/>
      </c>
      <c r="K724" s="2"/>
      <c r="L724" s="2"/>
      <c r="M724" s="2"/>
    </row>
    <row r="725" customFormat="false" ht="15" hidden="false" customHeight="false" outlineLevel="0" collapsed="false">
      <c r="A725" s="2"/>
      <c r="B725" s="11"/>
      <c r="C725" s="2"/>
      <c r="D725" s="2"/>
      <c r="E725" s="2"/>
      <c r="F725" s="2"/>
      <c r="G725" s="2"/>
      <c r="H725" s="23"/>
      <c r="I725" s="23"/>
      <c r="J725" s="23" t="str">
        <f aca="false">IF(C725="","",IF(OR(C725="Purchase",C725="Fee",C725="Withdrawal"),-(H725+I725),H725-I725))</f>
        <v/>
      </c>
      <c r="K725" s="2"/>
      <c r="L725" s="2"/>
      <c r="M725" s="2"/>
    </row>
    <row r="726" customFormat="false" ht="15" hidden="false" customHeight="false" outlineLevel="0" collapsed="false">
      <c r="A726" s="2"/>
      <c r="B726" s="11"/>
      <c r="C726" s="2"/>
      <c r="D726" s="2"/>
      <c r="E726" s="2"/>
      <c r="F726" s="2"/>
      <c r="G726" s="2"/>
      <c r="H726" s="23"/>
      <c r="I726" s="23"/>
      <c r="J726" s="23" t="str">
        <f aca="false">IF(C726="","",IF(OR(C726="Purchase",C726="Fee",C726="Withdrawal"),-(H726+I726),H726-I726))</f>
        <v/>
      </c>
      <c r="K726" s="2"/>
      <c r="L726" s="2"/>
      <c r="M726" s="2"/>
    </row>
    <row r="727" customFormat="false" ht="15" hidden="false" customHeight="false" outlineLevel="0" collapsed="false">
      <c r="A727" s="2"/>
      <c r="B727" s="11"/>
      <c r="C727" s="2"/>
      <c r="D727" s="2"/>
      <c r="E727" s="2"/>
      <c r="F727" s="2"/>
      <c r="G727" s="2"/>
      <c r="H727" s="23"/>
      <c r="I727" s="23"/>
      <c r="J727" s="23" t="str">
        <f aca="false">IF(C727="","",IF(OR(C727="Purchase",C727="Fee",C727="Withdrawal"),-(H727+I727),H727-I727))</f>
        <v/>
      </c>
      <c r="K727" s="2"/>
      <c r="L727" s="2"/>
      <c r="M727" s="2"/>
    </row>
    <row r="728" customFormat="false" ht="15" hidden="false" customHeight="false" outlineLevel="0" collapsed="false">
      <c r="A728" s="2"/>
      <c r="B728" s="11"/>
      <c r="C728" s="2"/>
      <c r="D728" s="2"/>
      <c r="E728" s="2"/>
      <c r="F728" s="2"/>
      <c r="G728" s="2"/>
      <c r="H728" s="23"/>
      <c r="I728" s="23"/>
      <c r="J728" s="23" t="str">
        <f aca="false">IF(C728="","",IF(OR(C728="Purchase",C728="Fee",C728="Withdrawal"),-(H728+I728),H728-I728))</f>
        <v/>
      </c>
      <c r="K728" s="2"/>
      <c r="L728" s="2"/>
      <c r="M728" s="2"/>
    </row>
    <row r="729" customFormat="false" ht="15" hidden="false" customHeight="false" outlineLevel="0" collapsed="false">
      <c r="A729" s="2"/>
      <c r="B729" s="11"/>
      <c r="C729" s="2"/>
      <c r="D729" s="2"/>
      <c r="E729" s="2"/>
      <c r="F729" s="2"/>
      <c r="G729" s="2"/>
      <c r="H729" s="23"/>
      <c r="I729" s="23"/>
      <c r="J729" s="23" t="str">
        <f aca="false">IF(C729="","",IF(OR(C729="Purchase",C729="Fee",C729="Withdrawal"),-(H729+I729),H729-I729))</f>
        <v/>
      </c>
      <c r="K729" s="2"/>
      <c r="L729" s="2"/>
      <c r="M729" s="2"/>
    </row>
    <row r="730" customFormat="false" ht="15" hidden="false" customHeight="false" outlineLevel="0" collapsed="false">
      <c r="A730" s="2"/>
      <c r="B730" s="11"/>
      <c r="C730" s="2"/>
      <c r="D730" s="2"/>
      <c r="E730" s="2"/>
      <c r="F730" s="2"/>
      <c r="G730" s="2"/>
      <c r="H730" s="23"/>
      <c r="I730" s="23"/>
      <c r="J730" s="23" t="str">
        <f aca="false">IF(C730="","",IF(OR(C730="Purchase",C730="Fee",C730="Withdrawal"),-(H730+I730),H730-I730))</f>
        <v/>
      </c>
      <c r="K730" s="2"/>
      <c r="L730" s="2"/>
      <c r="M730" s="2"/>
    </row>
    <row r="731" customFormat="false" ht="15" hidden="false" customHeight="false" outlineLevel="0" collapsed="false">
      <c r="A731" s="2"/>
      <c r="B731" s="11"/>
      <c r="C731" s="2"/>
      <c r="D731" s="2"/>
      <c r="E731" s="2"/>
      <c r="F731" s="2"/>
      <c r="G731" s="2"/>
      <c r="H731" s="23"/>
      <c r="I731" s="23"/>
      <c r="J731" s="23" t="str">
        <f aca="false">IF(C731="","",IF(OR(C731="Purchase",C731="Fee",C731="Withdrawal"),-(H731+I731),H731-I731))</f>
        <v/>
      </c>
      <c r="K731" s="2"/>
      <c r="L731" s="2"/>
      <c r="M731" s="2"/>
    </row>
    <row r="732" customFormat="false" ht="15" hidden="false" customHeight="false" outlineLevel="0" collapsed="false">
      <c r="A732" s="2"/>
      <c r="B732" s="11"/>
      <c r="C732" s="2"/>
      <c r="D732" s="2"/>
      <c r="E732" s="2"/>
      <c r="F732" s="2"/>
      <c r="G732" s="2"/>
      <c r="H732" s="23"/>
      <c r="I732" s="23"/>
      <c r="J732" s="23" t="str">
        <f aca="false">IF(C732="","",IF(OR(C732="Purchase",C732="Fee",C732="Withdrawal"),-(H732+I732),H732-I732))</f>
        <v/>
      </c>
      <c r="K732" s="2"/>
      <c r="L732" s="2"/>
      <c r="M732" s="2"/>
    </row>
    <row r="733" customFormat="false" ht="15" hidden="false" customHeight="false" outlineLevel="0" collapsed="false">
      <c r="A733" s="2"/>
      <c r="B733" s="11"/>
      <c r="C733" s="2"/>
      <c r="D733" s="2"/>
      <c r="E733" s="2"/>
      <c r="F733" s="2"/>
      <c r="G733" s="2"/>
      <c r="H733" s="23"/>
      <c r="I733" s="23"/>
      <c r="J733" s="23" t="str">
        <f aca="false">IF(C733="","",IF(OR(C733="Purchase",C733="Fee",C733="Withdrawal"),-(H733+I733),H733-I733))</f>
        <v/>
      </c>
      <c r="K733" s="2"/>
      <c r="L733" s="2"/>
      <c r="M733" s="2"/>
    </row>
    <row r="734" customFormat="false" ht="15" hidden="false" customHeight="false" outlineLevel="0" collapsed="false">
      <c r="A734" s="2"/>
      <c r="B734" s="11"/>
      <c r="C734" s="2"/>
      <c r="D734" s="2"/>
      <c r="E734" s="2"/>
      <c r="F734" s="2"/>
      <c r="G734" s="2"/>
      <c r="H734" s="23"/>
      <c r="I734" s="23"/>
      <c r="J734" s="23" t="str">
        <f aca="false">IF(C734="","",IF(OR(C734="Purchase",C734="Fee",C734="Withdrawal"),-(H734+I734),H734-I734))</f>
        <v/>
      </c>
      <c r="K734" s="2"/>
      <c r="L734" s="2"/>
      <c r="M734" s="2"/>
    </row>
    <row r="735" customFormat="false" ht="15" hidden="false" customHeight="false" outlineLevel="0" collapsed="false">
      <c r="A735" s="2"/>
      <c r="B735" s="11"/>
      <c r="C735" s="2"/>
      <c r="D735" s="2"/>
      <c r="E735" s="2"/>
      <c r="F735" s="2"/>
      <c r="G735" s="2"/>
      <c r="H735" s="23"/>
      <c r="I735" s="23"/>
      <c r="J735" s="23" t="str">
        <f aca="false">IF(C735="","",IF(OR(C735="Purchase",C735="Fee",C735="Withdrawal"),-(H735+I735),H735-I735))</f>
        <v/>
      </c>
      <c r="K735" s="2"/>
      <c r="L735" s="2"/>
      <c r="M735" s="2"/>
    </row>
    <row r="736" customFormat="false" ht="15" hidden="false" customHeight="false" outlineLevel="0" collapsed="false">
      <c r="A736" s="2"/>
      <c r="B736" s="11"/>
      <c r="C736" s="2"/>
      <c r="D736" s="2"/>
      <c r="E736" s="2"/>
      <c r="F736" s="2"/>
      <c r="G736" s="2"/>
      <c r="H736" s="23"/>
      <c r="I736" s="23"/>
      <c r="J736" s="23" t="str">
        <f aca="false">IF(C736="","",IF(OR(C736="Purchase",C736="Fee",C736="Withdrawal"),-(H736+I736),H736-I736))</f>
        <v/>
      </c>
      <c r="K736" s="2"/>
      <c r="L736" s="2"/>
      <c r="M736" s="2"/>
    </row>
    <row r="737" customFormat="false" ht="15" hidden="false" customHeight="false" outlineLevel="0" collapsed="false">
      <c r="A737" s="2"/>
      <c r="B737" s="11"/>
      <c r="C737" s="2"/>
      <c r="D737" s="2"/>
      <c r="E737" s="2"/>
      <c r="F737" s="2"/>
      <c r="G737" s="2"/>
      <c r="H737" s="23"/>
      <c r="I737" s="23"/>
      <c r="J737" s="23" t="str">
        <f aca="false">IF(C737="","",IF(OR(C737="Purchase",C737="Fee",C737="Withdrawal"),-(H737+I737),H737-I737))</f>
        <v/>
      </c>
      <c r="K737" s="2"/>
      <c r="L737" s="2"/>
      <c r="M737" s="2"/>
    </row>
    <row r="738" customFormat="false" ht="15" hidden="false" customHeight="false" outlineLevel="0" collapsed="false">
      <c r="A738" s="2"/>
      <c r="B738" s="11"/>
      <c r="C738" s="2"/>
      <c r="D738" s="2"/>
      <c r="E738" s="2"/>
      <c r="F738" s="2"/>
      <c r="G738" s="2"/>
      <c r="H738" s="23"/>
      <c r="I738" s="23"/>
      <c r="J738" s="23" t="str">
        <f aca="false">IF(C738="","",IF(OR(C738="Purchase",C738="Fee",C738="Withdrawal"),-(H738+I738),H738-I738))</f>
        <v/>
      </c>
      <c r="K738" s="2"/>
      <c r="L738" s="2"/>
      <c r="M738" s="2"/>
    </row>
    <row r="739" customFormat="false" ht="15" hidden="false" customHeight="false" outlineLevel="0" collapsed="false">
      <c r="A739" s="2"/>
      <c r="B739" s="11"/>
      <c r="C739" s="2"/>
      <c r="D739" s="2"/>
      <c r="E739" s="2"/>
      <c r="F739" s="2"/>
      <c r="G739" s="2"/>
      <c r="H739" s="23"/>
      <c r="I739" s="23"/>
      <c r="J739" s="23" t="str">
        <f aca="false">IF(C739="","",IF(OR(C739="Purchase",C739="Fee",C739="Withdrawal"),-(H739+I739),H739-I739))</f>
        <v/>
      </c>
      <c r="K739" s="2"/>
      <c r="L739" s="2"/>
      <c r="M739" s="2"/>
    </row>
    <row r="740" customFormat="false" ht="15" hidden="false" customHeight="false" outlineLevel="0" collapsed="false">
      <c r="A740" s="2"/>
      <c r="B740" s="11"/>
      <c r="C740" s="2"/>
      <c r="D740" s="2"/>
      <c r="E740" s="2"/>
      <c r="F740" s="2"/>
      <c r="G740" s="2"/>
      <c r="H740" s="23"/>
      <c r="I740" s="23"/>
      <c r="J740" s="23" t="str">
        <f aca="false">IF(C740="","",IF(OR(C740="Purchase",C740="Fee",C740="Withdrawal"),-(H740+I740),H740-I740))</f>
        <v/>
      </c>
      <c r="K740" s="2"/>
      <c r="L740" s="2"/>
      <c r="M740" s="2"/>
    </row>
    <row r="741" customFormat="false" ht="15" hidden="false" customHeight="false" outlineLevel="0" collapsed="false">
      <c r="A741" s="2"/>
      <c r="B741" s="11"/>
      <c r="C741" s="2"/>
      <c r="D741" s="2"/>
      <c r="E741" s="2"/>
      <c r="F741" s="2"/>
      <c r="G741" s="2"/>
      <c r="H741" s="23"/>
      <c r="I741" s="23"/>
      <c r="J741" s="23" t="str">
        <f aca="false">IF(C741="","",IF(OR(C741="Purchase",C741="Fee",C741="Withdrawal"),-(H741+I741),H741-I741))</f>
        <v/>
      </c>
      <c r="K741" s="2"/>
      <c r="L741" s="2"/>
      <c r="M741" s="2"/>
    </row>
    <row r="742" customFormat="false" ht="15" hidden="false" customHeight="false" outlineLevel="0" collapsed="false">
      <c r="A742" s="2"/>
      <c r="B742" s="11"/>
      <c r="C742" s="2"/>
      <c r="D742" s="2"/>
      <c r="E742" s="2"/>
      <c r="F742" s="2"/>
      <c r="G742" s="2"/>
      <c r="H742" s="23"/>
      <c r="I742" s="23"/>
      <c r="J742" s="23" t="str">
        <f aca="false">IF(C742="","",IF(OR(C742="Purchase",C742="Fee",C742="Withdrawal"),-(H742+I742),H742-I742))</f>
        <v/>
      </c>
      <c r="K742" s="2"/>
      <c r="L742" s="2"/>
      <c r="M742" s="2"/>
    </row>
    <row r="743" customFormat="false" ht="15" hidden="false" customHeight="false" outlineLevel="0" collapsed="false">
      <c r="A743" s="2"/>
      <c r="B743" s="11"/>
      <c r="C743" s="2"/>
      <c r="D743" s="2"/>
      <c r="E743" s="2"/>
      <c r="F743" s="2"/>
      <c r="G743" s="2"/>
      <c r="H743" s="23"/>
      <c r="I743" s="23"/>
      <c r="J743" s="23" t="str">
        <f aca="false">IF(C743="","",IF(OR(C743="Purchase",C743="Fee",C743="Withdrawal"),-(H743+I743),H743-I743))</f>
        <v/>
      </c>
      <c r="K743" s="2"/>
      <c r="L743" s="2"/>
      <c r="M743" s="2"/>
    </row>
    <row r="744" customFormat="false" ht="15" hidden="false" customHeight="false" outlineLevel="0" collapsed="false">
      <c r="A744" s="2"/>
      <c r="B744" s="11"/>
      <c r="C744" s="2"/>
      <c r="D744" s="2"/>
      <c r="E744" s="2"/>
      <c r="F744" s="2"/>
      <c r="G744" s="2"/>
      <c r="H744" s="23"/>
      <c r="I744" s="23"/>
      <c r="J744" s="23" t="str">
        <f aca="false">IF(C744="","",IF(OR(C744="Purchase",C744="Fee",C744="Withdrawal"),-(H744+I744),H744-I744))</f>
        <v/>
      </c>
      <c r="K744" s="2"/>
      <c r="L744" s="2"/>
      <c r="M744" s="2"/>
    </row>
    <row r="745" customFormat="false" ht="15" hidden="false" customHeight="false" outlineLevel="0" collapsed="false">
      <c r="A745" s="2"/>
      <c r="B745" s="11"/>
      <c r="C745" s="2"/>
      <c r="D745" s="2"/>
      <c r="E745" s="2"/>
      <c r="F745" s="2"/>
      <c r="G745" s="2"/>
      <c r="H745" s="23"/>
      <c r="I745" s="23"/>
      <c r="J745" s="23" t="str">
        <f aca="false">IF(C745="","",IF(OR(C745="Purchase",C745="Fee",C745="Withdrawal"),-(H745+I745),H745-I745))</f>
        <v/>
      </c>
      <c r="K745" s="2"/>
      <c r="L745" s="2"/>
      <c r="M745" s="2"/>
    </row>
    <row r="746" customFormat="false" ht="15" hidden="false" customHeight="false" outlineLevel="0" collapsed="false">
      <c r="A746" s="2"/>
      <c r="B746" s="11"/>
      <c r="C746" s="2"/>
      <c r="D746" s="2"/>
      <c r="E746" s="2"/>
      <c r="F746" s="2"/>
      <c r="G746" s="2"/>
      <c r="H746" s="23"/>
      <c r="I746" s="23"/>
      <c r="J746" s="23" t="str">
        <f aca="false">IF(C746="","",IF(OR(C746="Purchase",C746="Fee",C746="Withdrawal"),-(H746+I746),H746-I746))</f>
        <v/>
      </c>
      <c r="K746" s="2"/>
      <c r="L746" s="2"/>
      <c r="M746" s="2"/>
    </row>
    <row r="747" customFormat="false" ht="15" hidden="false" customHeight="false" outlineLevel="0" collapsed="false">
      <c r="A747" s="2"/>
      <c r="B747" s="11"/>
      <c r="C747" s="2"/>
      <c r="D747" s="2"/>
      <c r="E747" s="2"/>
      <c r="F747" s="2"/>
      <c r="G747" s="2"/>
      <c r="H747" s="23"/>
      <c r="I747" s="23"/>
      <c r="J747" s="23" t="str">
        <f aca="false">IF(C747="","",IF(OR(C747="Purchase",C747="Fee",C747="Withdrawal"),-(H747+I747),H747-I747))</f>
        <v/>
      </c>
      <c r="K747" s="2"/>
      <c r="L747" s="2"/>
      <c r="M747" s="2"/>
    </row>
    <row r="748" customFormat="false" ht="15" hidden="false" customHeight="false" outlineLevel="0" collapsed="false">
      <c r="A748" s="2"/>
      <c r="B748" s="11"/>
      <c r="C748" s="2"/>
      <c r="D748" s="2"/>
      <c r="E748" s="2"/>
      <c r="F748" s="2"/>
      <c r="G748" s="2"/>
      <c r="H748" s="23"/>
      <c r="I748" s="23"/>
      <c r="J748" s="23" t="str">
        <f aca="false">IF(C748="","",IF(OR(C748="Purchase",C748="Fee",C748="Withdrawal"),-(H748+I748),H748-I748))</f>
        <v/>
      </c>
      <c r="K748" s="2"/>
      <c r="L748" s="2"/>
      <c r="M748" s="2"/>
    </row>
    <row r="749" customFormat="false" ht="15" hidden="false" customHeight="false" outlineLevel="0" collapsed="false">
      <c r="A749" s="2"/>
      <c r="B749" s="11"/>
      <c r="C749" s="2"/>
      <c r="D749" s="2"/>
      <c r="E749" s="2"/>
      <c r="F749" s="2"/>
      <c r="G749" s="2"/>
      <c r="H749" s="23"/>
      <c r="I749" s="23"/>
      <c r="J749" s="23" t="str">
        <f aca="false">IF(C749="","",IF(OR(C749="Purchase",C749="Fee",C749="Withdrawal"),-(H749+I749),H749-I749))</f>
        <v/>
      </c>
      <c r="K749" s="2"/>
      <c r="L749" s="2"/>
      <c r="M749" s="2"/>
    </row>
    <row r="750" customFormat="false" ht="15" hidden="false" customHeight="false" outlineLevel="0" collapsed="false">
      <c r="A750" s="2"/>
      <c r="B750" s="11"/>
      <c r="C750" s="2"/>
      <c r="D750" s="2"/>
      <c r="E750" s="2"/>
      <c r="F750" s="2"/>
      <c r="G750" s="2"/>
      <c r="H750" s="23"/>
      <c r="I750" s="23"/>
      <c r="J750" s="23" t="str">
        <f aca="false">IF(C750="","",IF(OR(C750="Purchase",C750="Fee",C750="Withdrawal"),-(H750+I750),H750-I750))</f>
        <v/>
      </c>
      <c r="K750" s="2"/>
      <c r="L750" s="2"/>
      <c r="M750" s="2"/>
    </row>
    <row r="751" customFormat="false" ht="15" hidden="false" customHeight="false" outlineLevel="0" collapsed="false">
      <c r="A751" s="2"/>
      <c r="B751" s="11"/>
      <c r="C751" s="2"/>
      <c r="D751" s="2"/>
      <c r="E751" s="2"/>
      <c r="F751" s="2"/>
      <c r="G751" s="2"/>
      <c r="H751" s="23"/>
      <c r="I751" s="23"/>
      <c r="J751" s="23" t="str">
        <f aca="false">IF(C751="","",IF(OR(C751="Purchase",C751="Fee",C751="Withdrawal"),-(H751+I751),H751-I751))</f>
        <v/>
      </c>
      <c r="K751" s="2"/>
      <c r="L751" s="2"/>
      <c r="M751" s="2"/>
    </row>
    <row r="752" customFormat="false" ht="15" hidden="false" customHeight="false" outlineLevel="0" collapsed="false">
      <c r="A752" s="2"/>
      <c r="B752" s="11"/>
      <c r="C752" s="2"/>
      <c r="D752" s="2"/>
      <c r="E752" s="2"/>
      <c r="F752" s="2"/>
      <c r="G752" s="2"/>
      <c r="H752" s="23"/>
      <c r="I752" s="23"/>
      <c r="J752" s="23" t="str">
        <f aca="false">IF(C752="","",IF(OR(C752="Purchase",C752="Fee",C752="Withdrawal"),-(H752+I752),H752-I752))</f>
        <v/>
      </c>
      <c r="K752" s="2"/>
      <c r="L752" s="2"/>
      <c r="M752" s="2"/>
    </row>
    <row r="753" customFormat="false" ht="15" hidden="false" customHeight="false" outlineLevel="0" collapsed="false">
      <c r="A753" s="2"/>
      <c r="B753" s="11"/>
      <c r="C753" s="2"/>
      <c r="D753" s="2"/>
      <c r="E753" s="2"/>
      <c r="F753" s="2"/>
      <c r="G753" s="2"/>
      <c r="H753" s="23"/>
      <c r="I753" s="23"/>
      <c r="J753" s="23" t="str">
        <f aca="false">IF(C753="","",IF(OR(C753="Purchase",C753="Fee",C753="Withdrawal"),-(H753+I753),H753-I753))</f>
        <v/>
      </c>
      <c r="K753" s="2"/>
      <c r="L753" s="2"/>
      <c r="M753" s="2"/>
    </row>
    <row r="754" customFormat="false" ht="15" hidden="false" customHeight="false" outlineLevel="0" collapsed="false">
      <c r="A754" s="2"/>
      <c r="B754" s="11"/>
      <c r="C754" s="2"/>
      <c r="D754" s="2"/>
      <c r="E754" s="2"/>
      <c r="F754" s="2"/>
      <c r="G754" s="2"/>
      <c r="H754" s="23"/>
      <c r="I754" s="23"/>
      <c r="J754" s="23" t="str">
        <f aca="false">IF(C754="","",IF(OR(C754="Purchase",C754="Fee",C754="Withdrawal"),-(H754+I754),H754-I754))</f>
        <v/>
      </c>
      <c r="K754" s="2"/>
      <c r="L754" s="2"/>
      <c r="M754" s="2"/>
    </row>
    <row r="755" customFormat="false" ht="15" hidden="false" customHeight="false" outlineLevel="0" collapsed="false">
      <c r="A755" s="2"/>
      <c r="B755" s="11"/>
      <c r="C755" s="2"/>
      <c r="D755" s="2"/>
      <c r="E755" s="2"/>
      <c r="F755" s="2"/>
      <c r="G755" s="2"/>
      <c r="H755" s="23"/>
      <c r="I755" s="23"/>
      <c r="J755" s="23" t="str">
        <f aca="false">IF(C755="","",IF(OR(C755="Purchase",C755="Fee",C755="Withdrawal"),-(H755+I755),H755-I755))</f>
        <v/>
      </c>
      <c r="K755" s="2"/>
      <c r="L755" s="2"/>
      <c r="M755" s="2"/>
    </row>
    <row r="756" customFormat="false" ht="15" hidden="false" customHeight="false" outlineLevel="0" collapsed="false">
      <c r="A756" s="2"/>
      <c r="B756" s="11"/>
      <c r="C756" s="2"/>
      <c r="D756" s="2"/>
      <c r="E756" s="2"/>
      <c r="F756" s="2"/>
      <c r="G756" s="2"/>
      <c r="H756" s="23"/>
      <c r="I756" s="23"/>
      <c r="J756" s="23" t="str">
        <f aca="false">IF(C756="","",IF(OR(C756="Purchase",C756="Fee",C756="Withdrawal"),-(H756+I756),H756-I756))</f>
        <v/>
      </c>
      <c r="K756" s="2"/>
      <c r="L756" s="2"/>
      <c r="M756" s="2"/>
    </row>
    <row r="757" customFormat="false" ht="15" hidden="false" customHeight="false" outlineLevel="0" collapsed="false">
      <c r="A757" s="2"/>
      <c r="B757" s="11"/>
      <c r="C757" s="2"/>
      <c r="D757" s="2"/>
      <c r="E757" s="2"/>
      <c r="F757" s="2"/>
      <c r="G757" s="2"/>
      <c r="H757" s="23"/>
      <c r="I757" s="23"/>
      <c r="J757" s="23" t="str">
        <f aca="false">IF(C757="","",IF(OR(C757="Purchase",C757="Fee",C757="Withdrawal"),-(H757+I757),H757-I757))</f>
        <v/>
      </c>
      <c r="K757" s="2"/>
      <c r="L757" s="2"/>
      <c r="M757" s="2"/>
    </row>
    <row r="758" customFormat="false" ht="15" hidden="false" customHeight="false" outlineLevel="0" collapsed="false">
      <c r="A758" s="2"/>
      <c r="B758" s="11"/>
      <c r="C758" s="2"/>
      <c r="D758" s="2"/>
      <c r="E758" s="2"/>
      <c r="F758" s="2"/>
      <c r="G758" s="2"/>
      <c r="H758" s="23"/>
      <c r="I758" s="23"/>
      <c r="J758" s="23" t="str">
        <f aca="false">IF(C758="","",IF(OR(C758="Purchase",C758="Fee",C758="Withdrawal"),-(H758+I758),H758-I758))</f>
        <v/>
      </c>
      <c r="K758" s="2"/>
      <c r="L758" s="2"/>
      <c r="M758" s="2"/>
    </row>
    <row r="759" customFormat="false" ht="15" hidden="false" customHeight="false" outlineLevel="0" collapsed="false">
      <c r="A759" s="2"/>
      <c r="B759" s="11"/>
      <c r="C759" s="2"/>
      <c r="D759" s="2"/>
      <c r="E759" s="2"/>
      <c r="F759" s="2"/>
      <c r="G759" s="2"/>
      <c r="H759" s="23"/>
      <c r="I759" s="23"/>
      <c r="J759" s="23" t="str">
        <f aca="false">IF(C759="","",IF(OR(C759="Purchase",C759="Fee",C759="Withdrawal"),-(H759+I759),H759-I759))</f>
        <v/>
      </c>
      <c r="K759" s="2"/>
      <c r="L759" s="2"/>
      <c r="M759" s="2"/>
    </row>
    <row r="760" customFormat="false" ht="15" hidden="false" customHeight="false" outlineLevel="0" collapsed="false">
      <c r="A760" s="2"/>
      <c r="B760" s="11"/>
      <c r="C760" s="2"/>
      <c r="D760" s="2"/>
      <c r="E760" s="2"/>
      <c r="F760" s="2"/>
      <c r="G760" s="2"/>
      <c r="H760" s="23"/>
      <c r="I760" s="23"/>
      <c r="J760" s="23" t="str">
        <f aca="false">IF(C760="","",IF(OR(C760="Purchase",C760="Fee",C760="Withdrawal"),-(H760+I760),H760-I760))</f>
        <v/>
      </c>
      <c r="K760" s="2"/>
      <c r="L760" s="2"/>
      <c r="M760" s="2"/>
    </row>
    <row r="761" customFormat="false" ht="15" hidden="false" customHeight="false" outlineLevel="0" collapsed="false">
      <c r="A761" s="2"/>
      <c r="B761" s="11"/>
      <c r="C761" s="2"/>
      <c r="D761" s="2"/>
      <c r="E761" s="2"/>
      <c r="F761" s="2"/>
      <c r="G761" s="2"/>
      <c r="H761" s="23"/>
      <c r="I761" s="23"/>
      <c r="J761" s="23" t="str">
        <f aca="false">IF(C761="","",IF(OR(C761="Purchase",C761="Fee",C761="Withdrawal"),-(H761+I761),H761-I761))</f>
        <v/>
      </c>
      <c r="K761" s="2"/>
      <c r="L761" s="2"/>
      <c r="M761" s="2"/>
    </row>
    <row r="762" customFormat="false" ht="15" hidden="false" customHeight="false" outlineLevel="0" collapsed="false">
      <c r="A762" s="2"/>
      <c r="B762" s="11"/>
      <c r="C762" s="2"/>
      <c r="D762" s="2"/>
      <c r="E762" s="2"/>
      <c r="F762" s="2"/>
      <c r="G762" s="2"/>
      <c r="H762" s="23"/>
      <c r="I762" s="23"/>
      <c r="J762" s="23" t="str">
        <f aca="false">IF(C762="","",IF(OR(C762="Purchase",C762="Fee",C762="Withdrawal"),-(H762+I762),H762-I762))</f>
        <v/>
      </c>
      <c r="K762" s="2"/>
      <c r="L762" s="2"/>
      <c r="M762" s="2"/>
    </row>
    <row r="763" customFormat="false" ht="15" hidden="false" customHeight="false" outlineLevel="0" collapsed="false">
      <c r="A763" s="2"/>
      <c r="B763" s="11"/>
      <c r="C763" s="2"/>
      <c r="D763" s="2"/>
      <c r="E763" s="2"/>
      <c r="F763" s="2"/>
      <c r="G763" s="2"/>
      <c r="H763" s="23"/>
      <c r="I763" s="23"/>
      <c r="J763" s="23" t="str">
        <f aca="false">IF(C763="","",IF(OR(C763="Purchase",C763="Fee",C763="Withdrawal"),-(H763+I763),H763-I763))</f>
        <v/>
      </c>
      <c r="K763" s="2"/>
      <c r="L763" s="2"/>
      <c r="M763" s="2"/>
    </row>
    <row r="764" customFormat="false" ht="15" hidden="false" customHeight="false" outlineLevel="0" collapsed="false">
      <c r="A764" s="2"/>
      <c r="B764" s="11"/>
      <c r="C764" s="2"/>
      <c r="D764" s="2"/>
      <c r="E764" s="2"/>
      <c r="F764" s="2"/>
      <c r="G764" s="2"/>
      <c r="H764" s="23"/>
      <c r="I764" s="23"/>
      <c r="J764" s="23" t="str">
        <f aca="false">IF(C764="","",IF(OR(C764="Purchase",C764="Fee",C764="Withdrawal"),-(H764+I764),H764-I764))</f>
        <v/>
      </c>
      <c r="K764" s="2"/>
      <c r="L764" s="2"/>
      <c r="M764" s="2"/>
    </row>
    <row r="765" customFormat="false" ht="15" hidden="false" customHeight="false" outlineLevel="0" collapsed="false">
      <c r="A765" s="2"/>
      <c r="B765" s="11"/>
      <c r="C765" s="2"/>
      <c r="D765" s="2"/>
      <c r="E765" s="2"/>
      <c r="F765" s="2"/>
      <c r="G765" s="2"/>
      <c r="H765" s="23"/>
      <c r="I765" s="23"/>
      <c r="J765" s="23" t="str">
        <f aca="false">IF(C765="","",IF(OR(C765="Purchase",C765="Fee",C765="Withdrawal"),-(H765+I765),H765-I765))</f>
        <v/>
      </c>
      <c r="K765" s="2"/>
      <c r="L765" s="2"/>
      <c r="M765" s="2"/>
    </row>
    <row r="766" customFormat="false" ht="15" hidden="false" customHeight="false" outlineLevel="0" collapsed="false">
      <c r="A766" s="2"/>
      <c r="B766" s="11"/>
      <c r="C766" s="2"/>
      <c r="D766" s="2"/>
      <c r="E766" s="2"/>
      <c r="F766" s="2"/>
      <c r="G766" s="2"/>
      <c r="H766" s="23"/>
      <c r="I766" s="23"/>
      <c r="J766" s="23" t="str">
        <f aca="false">IF(C766="","",IF(OR(C766="Purchase",C766="Fee",C766="Withdrawal"),-(H766+I766),H766-I766))</f>
        <v/>
      </c>
      <c r="K766" s="2"/>
      <c r="L766" s="2"/>
      <c r="M766" s="2"/>
    </row>
    <row r="767" customFormat="false" ht="15" hidden="false" customHeight="false" outlineLevel="0" collapsed="false">
      <c r="A767" s="2"/>
      <c r="B767" s="11"/>
      <c r="C767" s="2"/>
      <c r="D767" s="2"/>
      <c r="E767" s="2"/>
      <c r="F767" s="2"/>
      <c r="G767" s="2"/>
      <c r="H767" s="23"/>
      <c r="I767" s="23"/>
      <c r="J767" s="23" t="str">
        <f aca="false">IF(C767="","",IF(OR(C767="Purchase",C767="Fee",C767="Withdrawal"),-(H767+I767),H767-I767))</f>
        <v/>
      </c>
      <c r="K767" s="2"/>
      <c r="L767" s="2"/>
      <c r="M767" s="2"/>
    </row>
    <row r="768" customFormat="false" ht="15" hidden="false" customHeight="false" outlineLevel="0" collapsed="false">
      <c r="A768" s="2"/>
      <c r="B768" s="11"/>
      <c r="C768" s="2"/>
      <c r="D768" s="2"/>
      <c r="E768" s="2"/>
      <c r="F768" s="2"/>
      <c r="G768" s="2"/>
      <c r="H768" s="23"/>
      <c r="I768" s="23"/>
      <c r="J768" s="23" t="str">
        <f aca="false">IF(C768="","",IF(OR(C768="Purchase",C768="Fee",C768="Withdrawal"),-(H768+I768),H768-I768))</f>
        <v/>
      </c>
      <c r="K768" s="2"/>
      <c r="L768" s="2"/>
      <c r="M768" s="2"/>
    </row>
    <row r="769" customFormat="false" ht="15" hidden="false" customHeight="false" outlineLevel="0" collapsed="false">
      <c r="A769" s="2"/>
      <c r="B769" s="11"/>
      <c r="C769" s="2"/>
      <c r="D769" s="2"/>
      <c r="E769" s="2"/>
      <c r="F769" s="2"/>
      <c r="G769" s="2"/>
      <c r="H769" s="23"/>
      <c r="I769" s="23"/>
      <c r="J769" s="23" t="str">
        <f aca="false">IF(C769="","",IF(OR(C769="Purchase",C769="Fee",C769="Withdrawal"),-(H769+I769),H769-I769))</f>
        <v/>
      </c>
      <c r="K769" s="2"/>
      <c r="L769" s="2"/>
      <c r="M769" s="2"/>
    </row>
    <row r="770" customFormat="false" ht="15" hidden="false" customHeight="false" outlineLevel="0" collapsed="false">
      <c r="A770" s="2"/>
      <c r="B770" s="11"/>
      <c r="C770" s="2"/>
      <c r="D770" s="2"/>
      <c r="E770" s="2"/>
      <c r="F770" s="2"/>
      <c r="G770" s="2"/>
      <c r="H770" s="23"/>
      <c r="I770" s="23"/>
      <c r="J770" s="23" t="str">
        <f aca="false">IF(C770="","",IF(OR(C770="Purchase",C770="Fee",C770="Withdrawal"),-(H770+I770),H770-I770))</f>
        <v/>
      </c>
      <c r="K770" s="2"/>
      <c r="L770" s="2"/>
      <c r="M770" s="2"/>
    </row>
    <row r="771" customFormat="false" ht="15" hidden="false" customHeight="false" outlineLevel="0" collapsed="false">
      <c r="A771" s="2"/>
      <c r="B771" s="11"/>
      <c r="C771" s="2"/>
      <c r="D771" s="2"/>
      <c r="E771" s="2"/>
      <c r="F771" s="2"/>
      <c r="G771" s="2"/>
      <c r="H771" s="23"/>
      <c r="I771" s="23"/>
      <c r="J771" s="23" t="str">
        <f aca="false">IF(C771="","",IF(OR(C771="Purchase",C771="Fee",C771="Withdrawal"),-(H771+I771),H771-I771))</f>
        <v/>
      </c>
      <c r="K771" s="2"/>
      <c r="L771" s="2"/>
      <c r="M771" s="2"/>
    </row>
    <row r="772" customFormat="false" ht="15" hidden="false" customHeight="false" outlineLevel="0" collapsed="false">
      <c r="A772" s="2"/>
      <c r="B772" s="11"/>
      <c r="C772" s="2"/>
      <c r="D772" s="2"/>
      <c r="E772" s="2"/>
      <c r="F772" s="2"/>
      <c r="G772" s="2"/>
      <c r="H772" s="23"/>
      <c r="I772" s="23"/>
      <c r="J772" s="23" t="str">
        <f aca="false">IF(C772="","",IF(OR(C772="Purchase",C772="Fee",C772="Withdrawal"),-(H772+I772),H772-I772))</f>
        <v/>
      </c>
      <c r="K772" s="2"/>
      <c r="L772" s="2"/>
      <c r="M772" s="2"/>
    </row>
    <row r="773" customFormat="false" ht="15" hidden="false" customHeight="false" outlineLevel="0" collapsed="false">
      <c r="A773" s="2"/>
      <c r="B773" s="11"/>
      <c r="C773" s="2"/>
      <c r="D773" s="2"/>
      <c r="E773" s="2"/>
      <c r="F773" s="2"/>
      <c r="G773" s="2"/>
      <c r="H773" s="23"/>
      <c r="I773" s="23"/>
      <c r="J773" s="23" t="str">
        <f aca="false">IF(C773="","",IF(OR(C773="Purchase",C773="Fee",C773="Withdrawal"),-(H773+I773),H773-I773))</f>
        <v/>
      </c>
      <c r="K773" s="2"/>
      <c r="L773" s="2"/>
      <c r="M773" s="2"/>
    </row>
    <row r="774" customFormat="false" ht="15" hidden="false" customHeight="false" outlineLevel="0" collapsed="false">
      <c r="A774" s="2"/>
      <c r="B774" s="11"/>
      <c r="C774" s="2"/>
      <c r="D774" s="2"/>
      <c r="E774" s="2"/>
      <c r="F774" s="2"/>
      <c r="G774" s="2"/>
      <c r="H774" s="23"/>
      <c r="I774" s="23"/>
      <c r="J774" s="23" t="str">
        <f aca="false">IF(C774="","",IF(OR(C774="Purchase",C774="Fee",C774="Withdrawal"),-(H774+I774),H774-I774))</f>
        <v/>
      </c>
      <c r="K774" s="2"/>
      <c r="L774" s="2"/>
      <c r="M774" s="2"/>
    </row>
    <row r="775" customFormat="false" ht="15" hidden="false" customHeight="false" outlineLevel="0" collapsed="false">
      <c r="A775" s="2"/>
      <c r="B775" s="11"/>
      <c r="C775" s="2"/>
      <c r="D775" s="2"/>
      <c r="E775" s="2"/>
      <c r="F775" s="2"/>
      <c r="G775" s="2"/>
      <c r="H775" s="23"/>
      <c r="I775" s="23"/>
      <c r="J775" s="23" t="str">
        <f aca="false">IF(C775="","",IF(OR(C775="Purchase",C775="Fee",C775="Withdrawal"),-(H775+I775),H775-I775))</f>
        <v/>
      </c>
      <c r="K775" s="2"/>
      <c r="L775" s="2"/>
      <c r="M775" s="2"/>
    </row>
    <row r="776" customFormat="false" ht="15" hidden="false" customHeight="false" outlineLevel="0" collapsed="false">
      <c r="A776" s="2"/>
      <c r="B776" s="11"/>
      <c r="C776" s="2"/>
      <c r="D776" s="2"/>
      <c r="E776" s="2"/>
      <c r="F776" s="2"/>
      <c r="G776" s="2"/>
      <c r="H776" s="23"/>
      <c r="I776" s="23"/>
      <c r="J776" s="23" t="str">
        <f aca="false">IF(C776="","",IF(OR(C776="Purchase",C776="Fee",C776="Withdrawal"),-(H776+I776),H776-I776))</f>
        <v/>
      </c>
      <c r="K776" s="2"/>
      <c r="L776" s="2"/>
      <c r="M776" s="2"/>
    </row>
    <row r="777" customFormat="false" ht="15" hidden="false" customHeight="false" outlineLevel="0" collapsed="false">
      <c r="A777" s="2"/>
      <c r="B777" s="11"/>
      <c r="C777" s="2"/>
      <c r="D777" s="2"/>
      <c r="E777" s="2"/>
      <c r="F777" s="2"/>
      <c r="G777" s="2"/>
      <c r="H777" s="23"/>
      <c r="I777" s="23"/>
      <c r="J777" s="23" t="str">
        <f aca="false">IF(C777="","",IF(OR(C777="Purchase",C777="Fee",C777="Withdrawal"),-(H777+I777),H777-I777))</f>
        <v/>
      </c>
      <c r="K777" s="2"/>
      <c r="L777" s="2"/>
      <c r="M777" s="2"/>
    </row>
    <row r="778" customFormat="false" ht="15" hidden="false" customHeight="false" outlineLevel="0" collapsed="false">
      <c r="A778" s="2"/>
      <c r="B778" s="11"/>
      <c r="C778" s="2"/>
      <c r="D778" s="2"/>
      <c r="E778" s="2"/>
      <c r="F778" s="2"/>
      <c r="G778" s="2"/>
      <c r="H778" s="23"/>
      <c r="I778" s="23"/>
      <c r="J778" s="23" t="str">
        <f aca="false">IF(C778="","",IF(OR(C778="Purchase",C778="Fee",C778="Withdrawal"),-(H778+I778),H778-I778))</f>
        <v/>
      </c>
      <c r="K778" s="2"/>
      <c r="L778" s="2"/>
      <c r="M778" s="2"/>
    </row>
    <row r="779" customFormat="false" ht="15" hidden="false" customHeight="false" outlineLevel="0" collapsed="false">
      <c r="A779" s="2"/>
      <c r="B779" s="11"/>
      <c r="C779" s="2"/>
      <c r="D779" s="2"/>
      <c r="E779" s="2"/>
      <c r="F779" s="2"/>
      <c r="G779" s="2"/>
      <c r="H779" s="23"/>
      <c r="I779" s="23"/>
      <c r="J779" s="23" t="str">
        <f aca="false">IF(C779="","",IF(OR(C779="Purchase",C779="Fee",C779="Withdrawal"),-(H779+I779),H779-I779))</f>
        <v/>
      </c>
      <c r="K779" s="2"/>
      <c r="L779" s="2"/>
      <c r="M779" s="2"/>
    </row>
    <row r="780" customFormat="false" ht="15" hidden="false" customHeight="false" outlineLevel="0" collapsed="false">
      <c r="A780" s="2"/>
      <c r="B780" s="11"/>
      <c r="C780" s="2"/>
      <c r="D780" s="2"/>
      <c r="E780" s="2"/>
      <c r="F780" s="2"/>
      <c r="G780" s="2"/>
      <c r="H780" s="23"/>
      <c r="I780" s="23"/>
      <c r="J780" s="23" t="str">
        <f aca="false">IF(C780="","",IF(OR(C780="Purchase",C780="Fee",C780="Withdrawal"),-(H780+I780),H780-I780))</f>
        <v/>
      </c>
      <c r="K780" s="2"/>
      <c r="L780" s="2"/>
      <c r="M780" s="2"/>
    </row>
    <row r="781" customFormat="false" ht="15" hidden="false" customHeight="false" outlineLevel="0" collapsed="false">
      <c r="A781" s="2"/>
      <c r="B781" s="11"/>
      <c r="C781" s="2"/>
      <c r="D781" s="2"/>
      <c r="E781" s="2"/>
      <c r="F781" s="2"/>
      <c r="G781" s="2"/>
      <c r="H781" s="23"/>
      <c r="I781" s="23"/>
      <c r="J781" s="23" t="str">
        <f aca="false">IF(C781="","",IF(OR(C781="Purchase",C781="Fee",C781="Withdrawal"),-(H781+I781),H781-I781))</f>
        <v/>
      </c>
      <c r="K781" s="2"/>
      <c r="L781" s="2"/>
      <c r="M781" s="2"/>
    </row>
    <row r="782" customFormat="false" ht="15" hidden="false" customHeight="false" outlineLevel="0" collapsed="false">
      <c r="A782" s="2"/>
      <c r="B782" s="11"/>
      <c r="C782" s="2"/>
      <c r="D782" s="2"/>
      <c r="E782" s="2"/>
      <c r="F782" s="2"/>
      <c r="G782" s="2"/>
      <c r="H782" s="23"/>
      <c r="I782" s="23"/>
      <c r="J782" s="23" t="str">
        <f aca="false">IF(C782="","",IF(OR(C782="Purchase",C782="Fee",C782="Withdrawal"),-(H782+I782),H782-I782))</f>
        <v/>
      </c>
      <c r="K782" s="2"/>
      <c r="L782" s="2"/>
      <c r="M782" s="2"/>
    </row>
    <row r="783" customFormat="false" ht="15" hidden="false" customHeight="false" outlineLevel="0" collapsed="false">
      <c r="A783" s="2"/>
      <c r="B783" s="11"/>
      <c r="C783" s="2"/>
      <c r="D783" s="2"/>
      <c r="E783" s="2"/>
      <c r="F783" s="2"/>
      <c r="G783" s="2"/>
      <c r="H783" s="23"/>
      <c r="I783" s="23"/>
      <c r="J783" s="23" t="str">
        <f aca="false">IF(C783="","",IF(OR(C783="Purchase",C783="Fee",C783="Withdrawal"),-(H783+I783),H783-I783))</f>
        <v/>
      </c>
      <c r="K783" s="2"/>
      <c r="L783" s="2"/>
      <c r="M783" s="2"/>
    </row>
    <row r="784" customFormat="false" ht="15" hidden="false" customHeight="false" outlineLevel="0" collapsed="false">
      <c r="A784" s="2"/>
      <c r="B784" s="11"/>
      <c r="C784" s="2"/>
      <c r="D784" s="2"/>
      <c r="E784" s="2"/>
      <c r="F784" s="2"/>
      <c r="G784" s="2"/>
      <c r="H784" s="23"/>
      <c r="I784" s="23"/>
      <c r="J784" s="23" t="str">
        <f aca="false">IF(C784="","",IF(OR(C784="Purchase",C784="Fee",C784="Withdrawal"),-(H784+I784),H784-I784))</f>
        <v/>
      </c>
      <c r="K784" s="2"/>
      <c r="L784" s="2"/>
      <c r="M784" s="2"/>
    </row>
    <row r="785" customFormat="false" ht="15" hidden="false" customHeight="false" outlineLevel="0" collapsed="false">
      <c r="A785" s="2"/>
      <c r="B785" s="11"/>
      <c r="C785" s="2"/>
      <c r="D785" s="2"/>
      <c r="E785" s="2"/>
      <c r="F785" s="2"/>
      <c r="G785" s="2"/>
      <c r="H785" s="23"/>
      <c r="I785" s="23"/>
      <c r="J785" s="23" t="str">
        <f aca="false">IF(C785="","",IF(OR(C785="Purchase",C785="Fee",C785="Withdrawal"),-(H785+I785),H785-I785))</f>
        <v/>
      </c>
      <c r="K785" s="2"/>
      <c r="L785" s="2"/>
      <c r="M785" s="2"/>
    </row>
    <row r="786" customFormat="false" ht="15" hidden="false" customHeight="false" outlineLevel="0" collapsed="false">
      <c r="A786" s="2"/>
      <c r="B786" s="11"/>
      <c r="C786" s="2"/>
      <c r="D786" s="2"/>
      <c r="E786" s="2"/>
      <c r="F786" s="2"/>
      <c r="G786" s="2"/>
      <c r="H786" s="23"/>
      <c r="I786" s="23"/>
      <c r="J786" s="23" t="str">
        <f aca="false">IF(C786="","",IF(OR(C786="Purchase",C786="Fee",C786="Withdrawal"),-(H786+I786),H786-I786))</f>
        <v/>
      </c>
      <c r="K786" s="2"/>
      <c r="L786" s="2"/>
      <c r="M786" s="2"/>
    </row>
    <row r="787" customFormat="false" ht="15" hidden="false" customHeight="false" outlineLevel="0" collapsed="false">
      <c r="A787" s="2"/>
      <c r="B787" s="11"/>
      <c r="C787" s="2"/>
      <c r="D787" s="2"/>
      <c r="E787" s="2"/>
      <c r="F787" s="2"/>
      <c r="G787" s="2"/>
      <c r="H787" s="23"/>
      <c r="I787" s="23"/>
      <c r="J787" s="23" t="str">
        <f aca="false">IF(C787="","",IF(OR(C787="Purchase",C787="Fee",C787="Withdrawal"),-(H787+I787),H787-I787))</f>
        <v/>
      </c>
      <c r="K787" s="2"/>
      <c r="L787" s="2"/>
      <c r="M787" s="2"/>
    </row>
    <row r="788" customFormat="false" ht="15" hidden="false" customHeight="false" outlineLevel="0" collapsed="false">
      <c r="A788" s="2"/>
      <c r="B788" s="11"/>
      <c r="C788" s="2"/>
      <c r="D788" s="2"/>
      <c r="E788" s="2"/>
      <c r="F788" s="2"/>
      <c r="G788" s="2"/>
      <c r="H788" s="23"/>
      <c r="I788" s="23"/>
      <c r="J788" s="23" t="str">
        <f aca="false">IF(C788="","",IF(OR(C788="Purchase",C788="Fee",C788="Withdrawal"),-(H788+I788),H788-I788))</f>
        <v/>
      </c>
      <c r="K788" s="2"/>
      <c r="L788" s="2"/>
      <c r="M788" s="2"/>
    </row>
    <row r="789" customFormat="false" ht="15" hidden="false" customHeight="false" outlineLevel="0" collapsed="false">
      <c r="A789" s="2"/>
      <c r="B789" s="11"/>
      <c r="C789" s="2"/>
      <c r="D789" s="2"/>
      <c r="E789" s="2"/>
      <c r="F789" s="2"/>
      <c r="G789" s="2"/>
      <c r="H789" s="23"/>
      <c r="I789" s="23"/>
      <c r="J789" s="23" t="str">
        <f aca="false">IF(C789="","",IF(OR(C789="Purchase",C789="Fee",C789="Withdrawal"),-(H789+I789),H789-I789))</f>
        <v/>
      </c>
      <c r="K789" s="2"/>
      <c r="L789" s="2"/>
      <c r="M789" s="2"/>
    </row>
    <row r="790" customFormat="false" ht="15" hidden="false" customHeight="false" outlineLevel="0" collapsed="false">
      <c r="A790" s="2"/>
      <c r="B790" s="11"/>
      <c r="C790" s="2"/>
      <c r="D790" s="2"/>
      <c r="E790" s="2"/>
      <c r="F790" s="2"/>
      <c r="G790" s="2"/>
      <c r="H790" s="23"/>
      <c r="I790" s="23"/>
      <c r="J790" s="23" t="str">
        <f aca="false">IF(C790="","",IF(OR(C790="Purchase",C790="Fee",C790="Withdrawal"),-(H790+I790),H790-I790))</f>
        <v/>
      </c>
      <c r="K790" s="2"/>
      <c r="L790" s="2"/>
      <c r="M790" s="2"/>
    </row>
    <row r="791" customFormat="false" ht="15" hidden="false" customHeight="false" outlineLevel="0" collapsed="false">
      <c r="A791" s="2"/>
      <c r="B791" s="11"/>
      <c r="C791" s="2"/>
      <c r="D791" s="2"/>
      <c r="E791" s="2"/>
      <c r="F791" s="2"/>
      <c r="G791" s="2"/>
      <c r="H791" s="23"/>
      <c r="I791" s="23"/>
      <c r="J791" s="23" t="str">
        <f aca="false">IF(C791="","",IF(OR(C791="Purchase",C791="Fee",C791="Withdrawal"),-(H791+I791),H791-I791))</f>
        <v/>
      </c>
      <c r="K791" s="2"/>
      <c r="L791" s="2"/>
      <c r="M791" s="2"/>
    </row>
    <row r="792" customFormat="false" ht="15" hidden="false" customHeight="false" outlineLevel="0" collapsed="false">
      <c r="A792" s="2"/>
      <c r="B792" s="11"/>
      <c r="C792" s="2"/>
      <c r="D792" s="2"/>
      <c r="E792" s="2"/>
      <c r="F792" s="2"/>
      <c r="G792" s="2"/>
      <c r="H792" s="23"/>
      <c r="I792" s="23"/>
      <c r="J792" s="23" t="str">
        <f aca="false">IF(C792="","",IF(OR(C792="Purchase",C792="Fee",C792="Withdrawal"),-(H792+I792),H792-I792))</f>
        <v/>
      </c>
      <c r="K792" s="2"/>
      <c r="L792" s="2"/>
      <c r="M792" s="2"/>
    </row>
    <row r="793" customFormat="false" ht="15" hidden="false" customHeight="false" outlineLevel="0" collapsed="false">
      <c r="A793" s="2"/>
      <c r="B793" s="11"/>
      <c r="C793" s="2"/>
      <c r="D793" s="2"/>
      <c r="E793" s="2"/>
      <c r="F793" s="2"/>
      <c r="G793" s="2"/>
      <c r="H793" s="23"/>
      <c r="I793" s="23"/>
      <c r="J793" s="23" t="str">
        <f aca="false">IF(C793="","",IF(OR(C793="Purchase",C793="Fee",C793="Withdrawal"),-(H793+I793),H793-I793))</f>
        <v/>
      </c>
      <c r="K793" s="2"/>
      <c r="L793" s="2"/>
      <c r="M793" s="2"/>
    </row>
    <row r="794" customFormat="false" ht="15" hidden="false" customHeight="false" outlineLevel="0" collapsed="false">
      <c r="A794" s="2"/>
      <c r="B794" s="11"/>
      <c r="C794" s="2"/>
      <c r="D794" s="2"/>
      <c r="E794" s="2"/>
      <c r="F794" s="2"/>
      <c r="G794" s="2"/>
      <c r="H794" s="23"/>
      <c r="I794" s="23"/>
      <c r="J794" s="23" t="str">
        <f aca="false">IF(C794="","",IF(OR(C794="Purchase",C794="Fee",C794="Withdrawal"),-(H794+I794),H794-I794))</f>
        <v/>
      </c>
      <c r="K794" s="2"/>
      <c r="L794" s="2"/>
      <c r="M794" s="2"/>
    </row>
    <row r="795" customFormat="false" ht="15" hidden="false" customHeight="false" outlineLevel="0" collapsed="false">
      <c r="A795" s="2"/>
      <c r="B795" s="11"/>
      <c r="C795" s="2"/>
      <c r="D795" s="2"/>
      <c r="E795" s="2"/>
      <c r="F795" s="2"/>
      <c r="G795" s="2"/>
      <c r="H795" s="23"/>
      <c r="I795" s="23"/>
      <c r="J795" s="23" t="str">
        <f aca="false">IF(C795="","",IF(OR(C795="Purchase",C795="Fee",C795="Withdrawal"),-(H795+I795),H795-I795))</f>
        <v/>
      </c>
      <c r="K795" s="2"/>
      <c r="L795" s="2"/>
      <c r="M795" s="2"/>
    </row>
    <row r="796" customFormat="false" ht="15" hidden="false" customHeight="false" outlineLevel="0" collapsed="false">
      <c r="A796" s="2"/>
      <c r="B796" s="11"/>
      <c r="C796" s="2"/>
      <c r="D796" s="2"/>
      <c r="E796" s="2"/>
      <c r="F796" s="2"/>
      <c r="G796" s="2"/>
      <c r="H796" s="23"/>
      <c r="I796" s="23"/>
      <c r="J796" s="23" t="str">
        <f aca="false">IF(C796="","",IF(OR(C796="Purchase",C796="Fee",C796="Withdrawal"),-(H796+I796),H796-I796))</f>
        <v/>
      </c>
      <c r="K796" s="2"/>
      <c r="L796" s="2"/>
      <c r="M796" s="2"/>
    </row>
    <row r="797" customFormat="false" ht="15" hidden="false" customHeight="false" outlineLevel="0" collapsed="false">
      <c r="A797" s="2"/>
      <c r="B797" s="11"/>
      <c r="C797" s="2"/>
      <c r="D797" s="2"/>
      <c r="E797" s="2"/>
      <c r="F797" s="2"/>
      <c r="G797" s="2"/>
      <c r="H797" s="23"/>
      <c r="I797" s="23"/>
      <c r="J797" s="23" t="str">
        <f aca="false">IF(C797="","",IF(OR(C797="Purchase",C797="Fee",C797="Withdrawal"),-(H797+I797),H797-I797))</f>
        <v/>
      </c>
      <c r="K797" s="2"/>
      <c r="L797" s="2"/>
      <c r="M797" s="2"/>
    </row>
    <row r="798" customFormat="false" ht="15" hidden="false" customHeight="false" outlineLevel="0" collapsed="false">
      <c r="A798" s="2"/>
      <c r="B798" s="11"/>
      <c r="C798" s="2"/>
      <c r="D798" s="2"/>
      <c r="E798" s="2"/>
      <c r="F798" s="2"/>
      <c r="G798" s="2"/>
      <c r="H798" s="23"/>
      <c r="I798" s="23"/>
      <c r="J798" s="23" t="str">
        <f aca="false">IF(C798="","",IF(OR(C798="Purchase",C798="Fee",C798="Withdrawal"),-(H798+I798),H798-I798))</f>
        <v/>
      </c>
      <c r="K798" s="2"/>
      <c r="L798" s="2"/>
      <c r="M798" s="2"/>
    </row>
    <row r="799" customFormat="false" ht="15" hidden="false" customHeight="false" outlineLevel="0" collapsed="false">
      <c r="A799" s="2"/>
      <c r="B799" s="11"/>
      <c r="C799" s="2"/>
      <c r="D799" s="2"/>
      <c r="E799" s="2"/>
      <c r="F799" s="2"/>
      <c r="G799" s="2"/>
      <c r="H799" s="23"/>
      <c r="I799" s="23"/>
      <c r="J799" s="23" t="str">
        <f aca="false">IF(C799="","",IF(OR(C799="Purchase",C799="Fee",C799="Withdrawal"),-(H799+I799),H799-I799))</f>
        <v/>
      </c>
      <c r="K799" s="2"/>
      <c r="L799" s="2"/>
      <c r="M799" s="2"/>
    </row>
    <row r="800" customFormat="false" ht="15" hidden="false" customHeight="false" outlineLevel="0" collapsed="false">
      <c r="A800" s="2"/>
      <c r="B800" s="11"/>
      <c r="C800" s="2"/>
      <c r="D800" s="2"/>
      <c r="E800" s="2"/>
      <c r="F800" s="2"/>
      <c r="G800" s="2"/>
      <c r="H800" s="23"/>
      <c r="I800" s="23"/>
      <c r="J800" s="23" t="str">
        <f aca="false">IF(C800="","",IF(OR(C800="Purchase",C800="Fee",C800="Withdrawal"),-(H800+I800),H800-I800))</f>
        <v/>
      </c>
      <c r="K800" s="2"/>
      <c r="L800" s="2"/>
      <c r="M800" s="2"/>
    </row>
    <row r="801" customFormat="false" ht="15" hidden="false" customHeight="false" outlineLevel="0" collapsed="false">
      <c r="A801" s="2"/>
      <c r="B801" s="11"/>
      <c r="C801" s="2"/>
      <c r="D801" s="2"/>
      <c r="E801" s="2"/>
      <c r="F801" s="2"/>
      <c r="G801" s="2"/>
      <c r="H801" s="23"/>
      <c r="I801" s="23"/>
      <c r="J801" s="23" t="str">
        <f aca="false">IF(C801="","",IF(OR(C801="Purchase",C801="Fee",C801="Withdrawal"),-(H801+I801),H801-I801))</f>
        <v/>
      </c>
      <c r="K801" s="2"/>
      <c r="L801" s="2"/>
      <c r="M801" s="2"/>
    </row>
    <row r="802" customFormat="false" ht="15" hidden="false" customHeight="false" outlineLevel="0" collapsed="false">
      <c r="A802" s="2"/>
      <c r="B802" s="11"/>
      <c r="C802" s="2"/>
      <c r="D802" s="2"/>
      <c r="E802" s="2"/>
      <c r="F802" s="2"/>
      <c r="G802" s="2"/>
      <c r="H802" s="23"/>
      <c r="I802" s="23"/>
      <c r="J802" s="23" t="str">
        <f aca="false">IF(C802="","",IF(OR(C802="Purchase",C802="Fee",C802="Withdrawal"),-(H802+I802),H802-I802))</f>
        <v/>
      </c>
      <c r="K802" s="2"/>
      <c r="L802" s="2"/>
      <c r="M802" s="2"/>
    </row>
    <row r="803" customFormat="false" ht="15" hidden="false" customHeight="false" outlineLevel="0" collapsed="false">
      <c r="A803" s="2"/>
      <c r="B803" s="11"/>
      <c r="C803" s="2"/>
      <c r="D803" s="2"/>
      <c r="E803" s="2"/>
      <c r="F803" s="2"/>
      <c r="G803" s="2"/>
      <c r="H803" s="23"/>
      <c r="I803" s="23"/>
      <c r="J803" s="23" t="str">
        <f aca="false">IF(C803="","",IF(OR(C803="Purchase",C803="Fee",C803="Withdrawal"),-(H803+I803),H803-I803))</f>
        <v/>
      </c>
      <c r="K803" s="2"/>
      <c r="L803" s="2"/>
      <c r="M803" s="2"/>
    </row>
    <row r="804" customFormat="false" ht="15" hidden="false" customHeight="false" outlineLevel="0" collapsed="false">
      <c r="A804" s="2"/>
      <c r="B804" s="11"/>
      <c r="C804" s="2"/>
      <c r="D804" s="2"/>
      <c r="E804" s="2"/>
      <c r="F804" s="2"/>
      <c r="G804" s="2"/>
      <c r="H804" s="23"/>
      <c r="I804" s="23"/>
      <c r="J804" s="23" t="str">
        <f aca="false">IF(C804="","",IF(OR(C804="Purchase",C804="Fee",C804="Withdrawal"),-(H804+I804),H804-I804))</f>
        <v/>
      </c>
      <c r="K804" s="2"/>
      <c r="L804" s="2"/>
      <c r="M804" s="2"/>
    </row>
    <row r="805" customFormat="false" ht="15" hidden="false" customHeight="false" outlineLevel="0" collapsed="false">
      <c r="A805" s="2"/>
      <c r="B805" s="11"/>
      <c r="C805" s="2"/>
      <c r="D805" s="2"/>
      <c r="E805" s="2"/>
      <c r="F805" s="2"/>
      <c r="G805" s="2"/>
      <c r="H805" s="23"/>
      <c r="I805" s="23"/>
      <c r="J805" s="23" t="str">
        <f aca="false">IF(C805="","",IF(OR(C805="Purchase",C805="Fee",C805="Withdrawal"),-(H805+I805),H805-I805))</f>
        <v/>
      </c>
      <c r="K805" s="2"/>
      <c r="L805" s="2"/>
      <c r="M805" s="2"/>
    </row>
    <row r="806" customFormat="false" ht="15" hidden="false" customHeight="false" outlineLevel="0" collapsed="false">
      <c r="A806" s="2"/>
      <c r="B806" s="11"/>
      <c r="C806" s="2"/>
      <c r="D806" s="2"/>
      <c r="E806" s="2"/>
      <c r="F806" s="2"/>
      <c r="G806" s="2"/>
      <c r="H806" s="23"/>
      <c r="I806" s="23"/>
      <c r="J806" s="23" t="str">
        <f aca="false">IF(C806="","",IF(OR(C806="Purchase",C806="Fee",C806="Withdrawal"),-(H806+I806),H806-I806))</f>
        <v/>
      </c>
      <c r="K806" s="2"/>
      <c r="L806" s="2"/>
      <c r="M806" s="2"/>
    </row>
    <row r="807" customFormat="false" ht="15" hidden="false" customHeight="false" outlineLevel="0" collapsed="false">
      <c r="A807" s="2"/>
      <c r="B807" s="11"/>
      <c r="C807" s="2"/>
      <c r="D807" s="2"/>
      <c r="E807" s="2"/>
      <c r="F807" s="2"/>
      <c r="G807" s="2"/>
      <c r="H807" s="23"/>
      <c r="I807" s="23"/>
      <c r="J807" s="23" t="str">
        <f aca="false">IF(C807="","",IF(OR(C807="Purchase",C807="Fee",C807="Withdrawal"),-(H807+I807),H807-I807))</f>
        <v/>
      </c>
      <c r="K807" s="2"/>
      <c r="L807" s="2"/>
      <c r="M807" s="2"/>
    </row>
    <row r="808" customFormat="false" ht="15" hidden="false" customHeight="false" outlineLevel="0" collapsed="false">
      <c r="A808" s="2"/>
      <c r="B808" s="11"/>
      <c r="C808" s="2"/>
      <c r="D808" s="2"/>
      <c r="E808" s="2"/>
      <c r="F808" s="2"/>
      <c r="G808" s="2"/>
      <c r="H808" s="23"/>
      <c r="I808" s="23"/>
      <c r="J808" s="23" t="str">
        <f aca="false">IF(C808="","",IF(OR(C808="Purchase",C808="Fee",C808="Withdrawal"),-(H808+I808),H808-I808))</f>
        <v/>
      </c>
      <c r="K808" s="2"/>
      <c r="L808" s="2"/>
      <c r="M808" s="2"/>
    </row>
    <row r="809" customFormat="false" ht="15" hidden="false" customHeight="false" outlineLevel="0" collapsed="false">
      <c r="A809" s="2"/>
      <c r="B809" s="11"/>
      <c r="C809" s="2"/>
      <c r="D809" s="2"/>
      <c r="E809" s="2"/>
      <c r="F809" s="2"/>
      <c r="G809" s="2"/>
      <c r="H809" s="23"/>
      <c r="I809" s="23"/>
      <c r="J809" s="23" t="str">
        <f aca="false">IF(C809="","",IF(OR(C809="Purchase",C809="Fee",C809="Withdrawal"),-(H809+I809),H809-I809))</f>
        <v/>
      </c>
      <c r="K809" s="2"/>
      <c r="L809" s="2"/>
      <c r="M809" s="2"/>
    </row>
    <row r="810" customFormat="false" ht="15" hidden="false" customHeight="false" outlineLevel="0" collapsed="false">
      <c r="A810" s="2"/>
      <c r="B810" s="11"/>
      <c r="C810" s="2"/>
      <c r="D810" s="2"/>
      <c r="E810" s="2"/>
      <c r="F810" s="2"/>
      <c r="G810" s="2"/>
      <c r="H810" s="23"/>
      <c r="I810" s="23"/>
      <c r="J810" s="23" t="str">
        <f aca="false">IF(C810="","",IF(OR(C810="Purchase",C810="Fee",C810="Withdrawal"),-(H810+I810),H810-I810))</f>
        <v/>
      </c>
      <c r="K810" s="2"/>
      <c r="L810" s="2"/>
      <c r="M810" s="2"/>
    </row>
    <row r="811" customFormat="false" ht="15" hidden="false" customHeight="false" outlineLevel="0" collapsed="false">
      <c r="A811" s="2"/>
      <c r="B811" s="11"/>
      <c r="C811" s="2"/>
      <c r="D811" s="2"/>
      <c r="E811" s="2"/>
      <c r="F811" s="2"/>
      <c r="G811" s="2"/>
      <c r="H811" s="23"/>
      <c r="I811" s="23"/>
      <c r="J811" s="23" t="str">
        <f aca="false">IF(C811="","",IF(OR(C811="Purchase",C811="Fee",C811="Withdrawal"),-(H811+I811),H811-I811))</f>
        <v/>
      </c>
      <c r="K811" s="2"/>
      <c r="L811" s="2"/>
      <c r="M811" s="2"/>
    </row>
    <row r="812" customFormat="false" ht="15" hidden="false" customHeight="false" outlineLevel="0" collapsed="false">
      <c r="A812" s="2"/>
      <c r="B812" s="11"/>
      <c r="C812" s="2"/>
      <c r="D812" s="2"/>
      <c r="E812" s="2"/>
      <c r="F812" s="2"/>
      <c r="G812" s="2"/>
      <c r="H812" s="23"/>
      <c r="I812" s="23"/>
      <c r="J812" s="23" t="str">
        <f aca="false">IF(C812="","",IF(OR(C812="Purchase",C812="Fee",C812="Withdrawal"),-(H812+I812),H812-I812))</f>
        <v/>
      </c>
      <c r="K812" s="2"/>
      <c r="L812" s="2"/>
      <c r="M812" s="2"/>
    </row>
    <row r="813" customFormat="false" ht="15" hidden="false" customHeight="false" outlineLevel="0" collapsed="false">
      <c r="A813" s="2"/>
      <c r="B813" s="11"/>
      <c r="C813" s="2"/>
      <c r="D813" s="2"/>
      <c r="E813" s="2"/>
      <c r="F813" s="2"/>
      <c r="G813" s="2"/>
      <c r="H813" s="23"/>
      <c r="I813" s="23"/>
      <c r="J813" s="23" t="str">
        <f aca="false">IF(C813="","",IF(OR(C813="Purchase",C813="Fee",C813="Withdrawal"),-(H813+I813),H813-I813))</f>
        <v/>
      </c>
      <c r="K813" s="2"/>
      <c r="L813" s="2"/>
      <c r="M813" s="2"/>
    </row>
    <row r="814" customFormat="false" ht="15" hidden="false" customHeight="false" outlineLevel="0" collapsed="false">
      <c r="A814" s="2"/>
      <c r="B814" s="11"/>
      <c r="C814" s="2"/>
      <c r="D814" s="2"/>
      <c r="E814" s="2"/>
      <c r="F814" s="2"/>
      <c r="G814" s="2"/>
      <c r="H814" s="23"/>
      <c r="I814" s="23"/>
      <c r="J814" s="23" t="str">
        <f aca="false">IF(C814="","",IF(OR(C814="Purchase",C814="Fee",C814="Withdrawal"),-(H814+I814),H814-I814))</f>
        <v/>
      </c>
      <c r="K814" s="2"/>
      <c r="L814" s="2"/>
      <c r="M814" s="2"/>
    </row>
    <row r="815" customFormat="false" ht="15" hidden="false" customHeight="false" outlineLevel="0" collapsed="false">
      <c r="A815" s="2"/>
      <c r="B815" s="11"/>
      <c r="C815" s="2"/>
      <c r="D815" s="2"/>
      <c r="E815" s="2"/>
      <c r="F815" s="2"/>
      <c r="G815" s="2"/>
      <c r="H815" s="23"/>
      <c r="I815" s="23"/>
      <c r="J815" s="23" t="str">
        <f aca="false">IF(C815="","",IF(OR(C815="Purchase",C815="Fee",C815="Withdrawal"),-(H815+I815),H815-I815))</f>
        <v/>
      </c>
      <c r="K815" s="2"/>
      <c r="L815" s="2"/>
      <c r="M815" s="2"/>
    </row>
    <row r="816" customFormat="false" ht="15" hidden="false" customHeight="false" outlineLevel="0" collapsed="false">
      <c r="A816" s="2"/>
      <c r="B816" s="11"/>
      <c r="C816" s="2"/>
      <c r="D816" s="2"/>
      <c r="E816" s="2"/>
      <c r="F816" s="2"/>
      <c r="G816" s="2"/>
      <c r="H816" s="23"/>
      <c r="I816" s="23"/>
      <c r="J816" s="23" t="str">
        <f aca="false">IF(C816="","",IF(OR(C816="Purchase",C816="Fee",C816="Withdrawal"),-(H816+I816),H816-I816))</f>
        <v/>
      </c>
      <c r="K816" s="2"/>
      <c r="L816" s="2"/>
      <c r="M816" s="2"/>
    </row>
    <row r="817" customFormat="false" ht="15" hidden="false" customHeight="false" outlineLevel="0" collapsed="false">
      <c r="A817" s="2"/>
      <c r="B817" s="11"/>
      <c r="C817" s="2"/>
      <c r="D817" s="2"/>
      <c r="E817" s="2"/>
      <c r="F817" s="2"/>
      <c r="G817" s="2"/>
      <c r="H817" s="23"/>
      <c r="I817" s="23"/>
      <c r="J817" s="23" t="str">
        <f aca="false">IF(C817="","",IF(OR(C817="Purchase",C817="Fee",C817="Withdrawal"),-(H817+I817),H817-I817))</f>
        <v/>
      </c>
      <c r="K817" s="2"/>
      <c r="L817" s="2"/>
      <c r="M817" s="2"/>
    </row>
    <row r="818" customFormat="false" ht="15" hidden="false" customHeight="false" outlineLevel="0" collapsed="false">
      <c r="A818" s="2"/>
      <c r="B818" s="11"/>
      <c r="C818" s="2"/>
      <c r="D818" s="2"/>
      <c r="E818" s="2"/>
      <c r="F818" s="2"/>
      <c r="G818" s="2"/>
      <c r="H818" s="23"/>
      <c r="I818" s="23"/>
      <c r="J818" s="23" t="str">
        <f aca="false">IF(C818="","",IF(OR(C818="Purchase",C818="Fee",C818="Withdrawal"),-(H818+I818),H818-I818))</f>
        <v/>
      </c>
      <c r="K818" s="2"/>
      <c r="L818" s="2"/>
      <c r="M818" s="2"/>
    </row>
    <row r="819" customFormat="false" ht="15" hidden="false" customHeight="false" outlineLevel="0" collapsed="false">
      <c r="A819" s="2"/>
      <c r="B819" s="11"/>
      <c r="C819" s="2"/>
      <c r="D819" s="2"/>
      <c r="E819" s="2"/>
      <c r="F819" s="2"/>
      <c r="G819" s="2"/>
      <c r="H819" s="23"/>
      <c r="I819" s="23"/>
      <c r="J819" s="23" t="str">
        <f aca="false">IF(C819="","",IF(OR(C819="Purchase",C819="Fee",C819="Withdrawal"),-(H819+I819),H819-I819))</f>
        <v/>
      </c>
      <c r="K819" s="2"/>
      <c r="L819" s="2"/>
      <c r="M819" s="2"/>
    </row>
    <row r="820" customFormat="false" ht="15" hidden="false" customHeight="false" outlineLevel="0" collapsed="false">
      <c r="A820" s="2"/>
      <c r="B820" s="11"/>
      <c r="C820" s="2"/>
      <c r="D820" s="2"/>
      <c r="E820" s="2"/>
      <c r="F820" s="2"/>
      <c r="G820" s="2"/>
      <c r="H820" s="23"/>
      <c r="I820" s="23"/>
      <c r="J820" s="23" t="str">
        <f aca="false">IF(C820="","",IF(OR(C820="Purchase",C820="Fee",C820="Withdrawal"),-(H820+I820),H820-I820))</f>
        <v/>
      </c>
      <c r="K820" s="2"/>
      <c r="L820" s="2"/>
      <c r="M820" s="2"/>
    </row>
    <row r="821" customFormat="false" ht="15" hidden="false" customHeight="false" outlineLevel="0" collapsed="false">
      <c r="A821" s="2"/>
      <c r="B821" s="11"/>
      <c r="C821" s="2"/>
      <c r="D821" s="2"/>
      <c r="E821" s="2"/>
      <c r="F821" s="2"/>
      <c r="G821" s="2"/>
      <c r="H821" s="23"/>
      <c r="I821" s="23"/>
      <c r="J821" s="23" t="str">
        <f aca="false">IF(C821="","",IF(OR(C821="Purchase",C821="Fee",C821="Withdrawal"),-(H821+I821),H821-I821))</f>
        <v/>
      </c>
      <c r="K821" s="2"/>
      <c r="L821" s="2"/>
      <c r="M821" s="2"/>
    </row>
    <row r="822" customFormat="false" ht="15" hidden="false" customHeight="false" outlineLevel="0" collapsed="false">
      <c r="A822" s="2"/>
      <c r="B822" s="11"/>
      <c r="C822" s="2"/>
      <c r="D822" s="2"/>
      <c r="E822" s="2"/>
      <c r="F822" s="2"/>
      <c r="G822" s="2"/>
      <c r="H822" s="23"/>
      <c r="I822" s="23"/>
      <c r="J822" s="23" t="str">
        <f aca="false">IF(C822="","",IF(OR(C822="Purchase",C822="Fee",C822="Withdrawal"),-(H822+I822),H822-I822))</f>
        <v/>
      </c>
      <c r="K822" s="2"/>
      <c r="L822" s="2"/>
      <c r="M822" s="2"/>
    </row>
    <row r="823" customFormat="false" ht="15" hidden="false" customHeight="false" outlineLevel="0" collapsed="false">
      <c r="A823" s="2"/>
      <c r="B823" s="11"/>
      <c r="C823" s="2"/>
      <c r="D823" s="2"/>
      <c r="E823" s="2"/>
      <c r="F823" s="2"/>
      <c r="G823" s="2"/>
      <c r="H823" s="23"/>
      <c r="I823" s="23"/>
      <c r="J823" s="23" t="str">
        <f aca="false">IF(C823="","",IF(OR(C823="Purchase",C823="Fee",C823="Withdrawal"),-(H823+I823),H823-I823))</f>
        <v/>
      </c>
      <c r="K823" s="2"/>
      <c r="L823" s="2"/>
      <c r="M823" s="2"/>
    </row>
    <row r="824" customFormat="false" ht="15" hidden="false" customHeight="false" outlineLevel="0" collapsed="false">
      <c r="A824" s="2"/>
      <c r="B824" s="11"/>
      <c r="C824" s="2"/>
      <c r="D824" s="2"/>
      <c r="E824" s="2"/>
      <c r="F824" s="2"/>
      <c r="G824" s="2"/>
      <c r="H824" s="23"/>
      <c r="I824" s="23"/>
      <c r="J824" s="23" t="str">
        <f aca="false">IF(C824="","",IF(OR(C824="Purchase",C824="Fee",C824="Withdrawal"),-(H824+I824),H824-I824))</f>
        <v/>
      </c>
      <c r="K824" s="2"/>
      <c r="L824" s="2"/>
      <c r="M824" s="2"/>
    </row>
    <row r="825" customFormat="false" ht="15" hidden="false" customHeight="false" outlineLevel="0" collapsed="false">
      <c r="A825" s="2"/>
      <c r="B825" s="11"/>
      <c r="C825" s="2"/>
      <c r="D825" s="2"/>
      <c r="E825" s="2"/>
      <c r="F825" s="2"/>
      <c r="G825" s="2"/>
      <c r="H825" s="23"/>
      <c r="I825" s="23"/>
      <c r="J825" s="23" t="str">
        <f aca="false">IF(C825="","",IF(OR(C825="Purchase",C825="Fee",C825="Withdrawal"),-(H825+I825),H825-I825))</f>
        <v/>
      </c>
      <c r="K825" s="2"/>
      <c r="L825" s="2"/>
      <c r="M825" s="2"/>
    </row>
    <row r="826" customFormat="false" ht="15" hidden="false" customHeight="false" outlineLevel="0" collapsed="false">
      <c r="A826" s="2"/>
      <c r="B826" s="11"/>
      <c r="C826" s="2"/>
      <c r="D826" s="2"/>
      <c r="E826" s="2"/>
      <c r="F826" s="2"/>
      <c r="G826" s="2"/>
      <c r="H826" s="23"/>
      <c r="I826" s="23"/>
      <c r="J826" s="23" t="str">
        <f aca="false">IF(C826="","",IF(OR(C826="Purchase",C826="Fee",C826="Withdrawal"),-(H826+I826),H826-I826))</f>
        <v/>
      </c>
      <c r="K826" s="2"/>
      <c r="L826" s="2"/>
      <c r="M826" s="2"/>
    </row>
    <row r="827" customFormat="false" ht="15" hidden="false" customHeight="false" outlineLevel="0" collapsed="false">
      <c r="A827" s="2"/>
      <c r="B827" s="11"/>
      <c r="C827" s="2"/>
      <c r="D827" s="2"/>
      <c r="E827" s="2"/>
      <c r="F827" s="2"/>
      <c r="G827" s="2"/>
      <c r="H827" s="23"/>
      <c r="I827" s="23"/>
      <c r="J827" s="23" t="str">
        <f aca="false">IF(C827="","",IF(OR(C827="Purchase",C827="Fee",C827="Withdrawal"),-(H827+I827),H827-I827))</f>
        <v/>
      </c>
      <c r="K827" s="2"/>
      <c r="L827" s="2"/>
      <c r="M827" s="2"/>
    </row>
    <row r="828" customFormat="false" ht="15" hidden="false" customHeight="false" outlineLevel="0" collapsed="false">
      <c r="A828" s="2"/>
      <c r="B828" s="11"/>
      <c r="C828" s="2"/>
      <c r="D828" s="2"/>
      <c r="E828" s="2"/>
      <c r="F828" s="2"/>
      <c r="G828" s="2"/>
      <c r="H828" s="23"/>
      <c r="I828" s="23"/>
      <c r="J828" s="23" t="str">
        <f aca="false">IF(C828="","",IF(OR(C828="Purchase",C828="Fee",C828="Withdrawal"),-(H828+I828),H828-I828))</f>
        <v/>
      </c>
      <c r="K828" s="2"/>
      <c r="L828" s="2"/>
      <c r="M828" s="2"/>
    </row>
    <row r="829" customFormat="false" ht="15" hidden="false" customHeight="false" outlineLevel="0" collapsed="false">
      <c r="A829" s="2"/>
      <c r="B829" s="11"/>
      <c r="C829" s="2"/>
      <c r="D829" s="2"/>
      <c r="E829" s="2"/>
      <c r="F829" s="2"/>
      <c r="G829" s="2"/>
      <c r="H829" s="23"/>
      <c r="I829" s="23"/>
      <c r="J829" s="23" t="str">
        <f aca="false">IF(C829="","",IF(OR(C829="Purchase",C829="Fee",C829="Withdrawal"),-(H829+I829),H829-I829))</f>
        <v/>
      </c>
      <c r="K829" s="2"/>
      <c r="L829" s="2"/>
      <c r="M829" s="2"/>
    </row>
    <row r="830" customFormat="false" ht="15" hidden="false" customHeight="false" outlineLevel="0" collapsed="false">
      <c r="A830" s="2"/>
      <c r="B830" s="11"/>
      <c r="C830" s="2"/>
      <c r="D830" s="2"/>
      <c r="E830" s="2"/>
      <c r="F830" s="2"/>
      <c r="G830" s="2"/>
      <c r="H830" s="23"/>
      <c r="I830" s="23"/>
      <c r="J830" s="23" t="str">
        <f aca="false">IF(C830="","",IF(OR(C830="Purchase",C830="Fee",C830="Withdrawal"),-(H830+I830),H830-I830))</f>
        <v/>
      </c>
      <c r="K830" s="2"/>
      <c r="L830" s="2"/>
      <c r="M830" s="2"/>
    </row>
    <row r="831" customFormat="false" ht="15" hidden="false" customHeight="false" outlineLevel="0" collapsed="false">
      <c r="A831" s="2"/>
      <c r="B831" s="11"/>
      <c r="C831" s="2"/>
      <c r="D831" s="2"/>
      <c r="E831" s="2"/>
      <c r="F831" s="2"/>
      <c r="G831" s="2"/>
      <c r="H831" s="23"/>
      <c r="I831" s="23"/>
      <c r="J831" s="23" t="str">
        <f aca="false">IF(C831="","",IF(OR(C831="Purchase",C831="Fee",C831="Withdrawal"),-(H831+I831),H831-I831))</f>
        <v/>
      </c>
      <c r="K831" s="2"/>
      <c r="L831" s="2"/>
      <c r="M831" s="2"/>
    </row>
    <row r="832" customFormat="false" ht="15" hidden="false" customHeight="false" outlineLevel="0" collapsed="false">
      <c r="A832" s="2"/>
      <c r="B832" s="11"/>
      <c r="C832" s="2"/>
      <c r="D832" s="2"/>
      <c r="E832" s="2"/>
      <c r="F832" s="2"/>
      <c r="G832" s="2"/>
      <c r="H832" s="23"/>
      <c r="I832" s="23"/>
      <c r="J832" s="23" t="str">
        <f aca="false">IF(C832="","",IF(OR(C832="Purchase",C832="Fee",C832="Withdrawal"),-(H832+I832),H832-I832))</f>
        <v/>
      </c>
      <c r="K832" s="2"/>
      <c r="L832" s="2"/>
      <c r="M832" s="2"/>
    </row>
    <row r="833" customFormat="false" ht="15" hidden="false" customHeight="false" outlineLevel="0" collapsed="false">
      <c r="A833" s="2"/>
      <c r="B833" s="11"/>
      <c r="C833" s="2"/>
      <c r="D833" s="2"/>
      <c r="E833" s="2"/>
      <c r="F833" s="2"/>
      <c r="G833" s="2"/>
      <c r="H833" s="23"/>
      <c r="I833" s="23"/>
      <c r="J833" s="23" t="str">
        <f aca="false">IF(C833="","",IF(OR(C833="Purchase",C833="Fee",C833="Withdrawal"),-(H833+I833),H833-I833))</f>
        <v/>
      </c>
      <c r="K833" s="2"/>
      <c r="L833" s="2"/>
      <c r="M833" s="2"/>
    </row>
    <row r="834" customFormat="false" ht="15" hidden="false" customHeight="false" outlineLevel="0" collapsed="false">
      <c r="A834" s="2"/>
      <c r="B834" s="11"/>
      <c r="C834" s="2"/>
      <c r="D834" s="2"/>
      <c r="E834" s="2"/>
      <c r="F834" s="2"/>
      <c r="G834" s="2"/>
      <c r="H834" s="23"/>
      <c r="I834" s="23"/>
      <c r="J834" s="23" t="str">
        <f aca="false">IF(C834="","",IF(OR(C834="Purchase",C834="Fee",C834="Withdrawal"),-(H834+I834),H834-I834))</f>
        <v/>
      </c>
      <c r="K834" s="2"/>
      <c r="L834" s="2"/>
      <c r="M834" s="2"/>
    </row>
    <row r="835" customFormat="false" ht="15" hidden="false" customHeight="false" outlineLevel="0" collapsed="false">
      <c r="A835" s="2"/>
      <c r="B835" s="11"/>
      <c r="C835" s="2"/>
      <c r="D835" s="2"/>
      <c r="E835" s="2"/>
      <c r="F835" s="2"/>
      <c r="G835" s="2"/>
      <c r="H835" s="23"/>
      <c r="I835" s="23"/>
      <c r="J835" s="23" t="str">
        <f aca="false">IF(C835="","",IF(OR(C835="Purchase",C835="Fee",C835="Withdrawal"),-(H835+I835),H835-I835))</f>
        <v/>
      </c>
      <c r="K835" s="2"/>
      <c r="L835" s="2"/>
      <c r="M835" s="2"/>
    </row>
    <row r="836" customFormat="false" ht="15" hidden="false" customHeight="false" outlineLevel="0" collapsed="false">
      <c r="A836" s="2"/>
      <c r="B836" s="11"/>
      <c r="C836" s="2"/>
      <c r="D836" s="2"/>
      <c r="E836" s="2"/>
      <c r="F836" s="2"/>
      <c r="G836" s="2"/>
      <c r="H836" s="23"/>
      <c r="I836" s="23"/>
      <c r="J836" s="23" t="str">
        <f aca="false">IF(C836="","",IF(OR(C836="Purchase",C836="Fee",C836="Withdrawal"),-(H836+I836),H836-I836))</f>
        <v/>
      </c>
      <c r="K836" s="2"/>
      <c r="L836" s="2"/>
      <c r="M836" s="2"/>
    </row>
    <row r="837" customFormat="false" ht="15" hidden="false" customHeight="false" outlineLevel="0" collapsed="false">
      <c r="A837" s="2"/>
      <c r="B837" s="11"/>
      <c r="C837" s="2"/>
      <c r="D837" s="2"/>
      <c r="E837" s="2"/>
      <c r="F837" s="2"/>
      <c r="G837" s="2"/>
      <c r="H837" s="23"/>
      <c r="I837" s="23"/>
      <c r="J837" s="23" t="str">
        <f aca="false">IF(C837="","",IF(OR(C837="Purchase",C837="Fee",C837="Withdrawal"),-(H837+I837),H837-I837))</f>
        <v/>
      </c>
      <c r="K837" s="2"/>
      <c r="L837" s="2"/>
      <c r="M837" s="2"/>
    </row>
    <row r="838" customFormat="false" ht="15" hidden="false" customHeight="false" outlineLevel="0" collapsed="false">
      <c r="A838" s="2"/>
      <c r="B838" s="11"/>
      <c r="C838" s="2"/>
      <c r="D838" s="2"/>
      <c r="E838" s="2"/>
      <c r="F838" s="2"/>
      <c r="G838" s="2"/>
      <c r="H838" s="23"/>
      <c r="I838" s="23"/>
      <c r="J838" s="23" t="str">
        <f aca="false">IF(C838="","",IF(OR(C838="Purchase",C838="Fee",C838="Withdrawal"),-(H838+I838),H838-I838))</f>
        <v/>
      </c>
      <c r="K838" s="2"/>
      <c r="L838" s="2"/>
      <c r="M838" s="2"/>
    </row>
    <row r="839" customFormat="false" ht="15" hidden="false" customHeight="false" outlineLevel="0" collapsed="false">
      <c r="A839" s="2"/>
      <c r="B839" s="11"/>
      <c r="C839" s="2"/>
      <c r="D839" s="2"/>
      <c r="E839" s="2"/>
      <c r="F839" s="2"/>
      <c r="G839" s="2"/>
      <c r="H839" s="23"/>
      <c r="I839" s="23"/>
      <c r="J839" s="23" t="str">
        <f aca="false">IF(C839="","",IF(OR(C839="Purchase",C839="Fee",C839="Withdrawal"),-(H839+I839),H839-I839))</f>
        <v/>
      </c>
      <c r="K839" s="2"/>
      <c r="L839" s="2"/>
      <c r="M839" s="2"/>
    </row>
    <row r="840" customFormat="false" ht="15" hidden="false" customHeight="false" outlineLevel="0" collapsed="false">
      <c r="A840" s="2"/>
      <c r="B840" s="11"/>
      <c r="C840" s="2"/>
      <c r="D840" s="2"/>
      <c r="E840" s="2"/>
      <c r="F840" s="2"/>
      <c r="G840" s="2"/>
      <c r="H840" s="23"/>
      <c r="I840" s="23"/>
      <c r="J840" s="23" t="str">
        <f aca="false">IF(C840="","",IF(OR(C840="Purchase",C840="Fee",C840="Withdrawal"),-(H840+I840),H840-I840))</f>
        <v/>
      </c>
      <c r="K840" s="2"/>
      <c r="L840" s="2"/>
      <c r="M840" s="2"/>
    </row>
    <row r="841" customFormat="false" ht="15" hidden="false" customHeight="false" outlineLevel="0" collapsed="false">
      <c r="A841" s="2"/>
      <c r="B841" s="11"/>
      <c r="C841" s="2"/>
      <c r="D841" s="2"/>
      <c r="E841" s="2"/>
      <c r="F841" s="2"/>
      <c r="G841" s="2"/>
      <c r="H841" s="23"/>
      <c r="I841" s="23"/>
      <c r="J841" s="23" t="str">
        <f aca="false">IF(C841="","",IF(OR(C841="Purchase",C841="Fee",C841="Withdrawal"),-(H841+I841),H841-I841))</f>
        <v/>
      </c>
      <c r="K841" s="2"/>
      <c r="L841" s="2"/>
      <c r="M841" s="2"/>
    </row>
    <row r="842" customFormat="false" ht="15" hidden="false" customHeight="false" outlineLevel="0" collapsed="false">
      <c r="A842" s="2"/>
      <c r="B842" s="11"/>
      <c r="C842" s="2"/>
      <c r="D842" s="2"/>
      <c r="E842" s="2"/>
      <c r="F842" s="2"/>
      <c r="G842" s="2"/>
      <c r="H842" s="23"/>
      <c r="I842" s="23"/>
      <c r="J842" s="23" t="str">
        <f aca="false">IF(C842="","",IF(OR(C842="Purchase",C842="Fee",C842="Withdrawal"),-(H842+I842),H842-I842))</f>
        <v/>
      </c>
      <c r="K842" s="2"/>
      <c r="L842" s="2"/>
      <c r="M842" s="2"/>
    </row>
    <row r="843" customFormat="false" ht="15" hidden="false" customHeight="false" outlineLevel="0" collapsed="false">
      <c r="A843" s="2"/>
      <c r="B843" s="11"/>
      <c r="C843" s="2"/>
      <c r="D843" s="2"/>
      <c r="E843" s="2"/>
      <c r="F843" s="2"/>
      <c r="G843" s="2"/>
      <c r="H843" s="23"/>
      <c r="I843" s="23"/>
      <c r="J843" s="23" t="str">
        <f aca="false">IF(C843="","",IF(OR(C843="Purchase",C843="Fee",C843="Withdrawal"),-(H843+I843),H843-I843))</f>
        <v/>
      </c>
      <c r="K843" s="2"/>
      <c r="L843" s="2"/>
      <c r="M843" s="2"/>
    </row>
    <row r="844" customFormat="false" ht="15" hidden="false" customHeight="false" outlineLevel="0" collapsed="false">
      <c r="A844" s="2"/>
      <c r="B844" s="11"/>
      <c r="C844" s="2"/>
      <c r="D844" s="2"/>
      <c r="E844" s="2"/>
      <c r="F844" s="2"/>
      <c r="G844" s="2"/>
      <c r="H844" s="23"/>
      <c r="I844" s="23"/>
      <c r="J844" s="23" t="str">
        <f aca="false">IF(C844="","",IF(OR(C844="Purchase",C844="Fee",C844="Withdrawal"),-(H844+I844),H844-I844))</f>
        <v/>
      </c>
      <c r="K844" s="2"/>
      <c r="L844" s="2"/>
      <c r="M844" s="2"/>
    </row>
    <row r="845" customFormat="false" ht="15" hidden="false" customHeight="false" outlineLevel="0" collapsed="false">
      <c r="A845" s="2"/>
      <c r="B845" s="11"/>
      <c r="C845" s="2"/>
      <c r="D845" s="2"/>
      <c r="E845" s="2"/>
      <c r="F845" s="2"/>
      <c r="G845" s="2"/>
      <c r="H845" s="23"/>
      <c r="I845" s="23"/>
      <c r="J845" s="23" t="str">
        <f aca="false">IF(C845="","",IF(OR(C845="Purchase",C845="Fee",C845="Withdrawal"),-(H845+I845),H845-I845))</f>
        <v/>
      </c>
      <c r="K845" s="2"/>
      <c r="L845" s="2"/>
      <c r="M845" s="2"/>
    </row>
    <row r="846" customFormat="false" ht="15" hidden="false" customHeight="false" outlineLevel="0" collapsed="false">
      <c r="A846" s="2"/>
      <c r="B846" s="11"/>
      <c r="C846" s="2"/>
      <c r="D846" s="2"/>
      <c r="E846" s="2"/>
      <c r="F846" s="2"/>
      <c r="G846" s="2"/>
      <c r="H846" s="23"/>
      <c r="I846" s="23"/>
      <c r="J846" s="23" t="str">
        <f aca="false">IF(C846="","",IF(OR(C846="Purchase",C846="Fee",C846="Withdrawal"),-(H846+I846),H846-I846))</f>
        <v/>
      </c>
      <c r="K846" s="2"/>
      <c r="L846" s="2"/>
      <c r="M846" s="2"/>
    </row>
    <row r="847" customFormat="false" ht="15" hidden="false" customHeight="false" outlineLevel="0" collapsed="false">
      <c r="A847" s="2"/>
      <c r="B847" s="11"/>
      <c r="C847" s="2"/>
      <c r="D847" s="2"/>
      <c r="E847" s="2"/>
      <c r="F847" s="2"/>
      <c r="G847" s="2"/>
      <c r="H847" s="23"/>
      <c r="I847" s="23"/>
      <c r="J847" s="23" t="str">
        <f aca="false">IF(C847="","",IF(OR(C847="Purchase",C847="Fee",C847="Withdrawal"),-(H847+I847),H847-I847))</f>
        <v/>
      </c>
      <c r="K847" s="2"/>
      <c r="L847" s="2"/>
      <c r="M847" s="2"/>
    </row>
    <row r="848" customFormat="false" ht="15" hidden="false" customHeight="false" outlineLevel="0" collapsed="false">
      <c r="A848" s="2"/>
      <c r="B848" s="11"/>
      <c r="C848" s="2"/>
      <c r="D848" s="2"/>
      <c r="E848" s="2"/>
      <c r="F848" s="2"/>
      <c r="G848" s="2"/>
      <c r="H848" s="23"/>
      <c r="I848" s="23"/>
      <c r="J848" s="23" t="str">
        <f aca="false">IF(C848="","",IF(OR(C848="Purchase",C848="Fee",C848="Withdrawal"),-(H848+I848),H848-I848))</f>
        <v/>
      </c>
      <c r="K848" s="2"/>
      <c r="L848" s="2"/>
      <c r="M848" s="2"/>
    </row>
    <row r="849" customFormat="false" ht="15" hidden="false" customHeight="false" outlineLevel="0" collapsed="false">
      <c r="A849" s="2"/>
      <c r="B849" s="11"/>
      <c r="C849" s="2"/>
      <c r="D849" s="2"/>
      <c r="E849" s="2"/>
      <c r="F849" s="2"/>
      <c r="G849" s="2"/>
      <c r="H849" s="23"/>
      <c r="I849" s="23"/>
      <c r="J849" s="23" t="str">
        <f aca="false">IF(C849="","",IF(OR(C849="Purchase",C849="Fee",C849="Withdrawal"),-(H849+I849),H849-I849))</f>
        <v/>
      </c>
      <c r="K849" s="2"/>
      <c r="L849" s="2"/>
      <c r="M849" s="2"/>
    </row>
    <row r="850" customFormat="false" ht="15" hidden="false" customHeight="false" outlineLevel="0" collapsed="false">
      <c r="A850" s="2"/>
      <c r="B850" s="11"/>
      <c r="C850" s="2"/>
      <c r="D850" s="2"/>
      <c r="E850" s="2"/>
      <c r="F850" s="2"/>
      <c r="G850" s="2"/>
      <c r="H850" s="23"/>
      <c r="I850" s="23"/>
      <c r="J850" s="23" t="str">
        <f aca="false">IF(C850="","",IF(OR(C850="Purchase",C850="Fee",C850="Withdrawal"),-(H850+I850),H850-I850))</f>
        <v/>
      </c>
      <c r="K850" s="2"/>
      <c r="L850" s="2"/>
      <c r="M850" s="2"/>
    </row>
    <row r="851" customFormat="false" ht="15" hidden="false" customHeight="false" outlineLevel="0" collapsed="false">
      <c r="A851" s="2"/>
      <c r="B851" s="11"/>
      <c r="C851" s="2"/>
      <c r="D851" s="2"/>
      <c r="E851" s="2"/>
      <c r="F851" s="2"/>
      <c r="G851" s="2"/>
      <c r="H851" s="23"/>
      <c r="I851" s="23"/>
      <c r="J851" s="23" t="str">
        <f aca="false">IF(C851="","",IF(OR(C851="Purchase",C851="Fee",C851="Withdrawal"),-(H851+I851),H851-I851))</f>
        <v/>
      </c>
      <c r="K851" s="2"/>
      <c r="L851" s="2"/>
      <c r="M851" s="2"/>
    </row>
    <row r="852" customFormat="false" ht="15" hidden="false" customHeight="false" outlineLevel="0" collapsed="false">
      <c r="A852" s="2"/>
      <c r="B852" s="11"/>
      <c r="C852" s="2"/>
      <c r="D852" s="2"/>
      <c r="E852" s="2"/>
      <c r="F852" s="2"/>
      <c r="G852" s="2"/>
      <c r="H852" s="23"/>
      <c r="I852" s="23"/>
      <c r="J852" s="23" t="str">
        <f aca="false">IF(C852="","",IF(OR(C852="Purchase",C852="Fee",C852="Withdrawal"),-(H852+I852),H852-I852))</f>
        <v/>
      </c>
      <c r="K852" s="2"/>
      <c r="L852" s="2"/>
      <c r="M852" s="2"/>
    </row>
    <row r="853" customFormat="false" ht="15" hidden="false" customHeight="false" outlineLevel="0" collapsed="false">
      <c r="A853" s="2"/>
      <c r="B853" s="11"/>
      <c r="C853" s="2"/>
      <c r="D853" s="2"/>
      <c r="E853" s="2"/>
      <c r="F853" s="2"/>
      <c r="G853" s="2"/>
      <c r="H853" s="23"/>
      <c r="I853" s="23"/>
      <c r="J853" s="23" t="str">
        <f aca="false">IF(C853="","",IF(OR(C853="Purchase",C853="Fee",C853="Withdrawal"),-(H853+I853),H853-I853))</f>
        <v/>
      </c>
      <c r="K853" s="2"/>
      <c r="L853" s="2"/>
      <c r="M853" s="2"/>
    </row>
    <row r="854" customFormat="false" ht="15" hidden="false" customHeight="false" outlineLevel="0" collapsed="false">
      <c r="A854" s="2"/>
      <c r="B854" s="11"/>
      <c r="C854" s="2"/>
      <c r="D854" s="2"/>
      <c r="E854" s="2"/>
      <c r="F854" s="2"/>
      <c r="G854" s="2"/>
      <c r="H854" s="23"/>
      <c r="I854" s="23"/>
      <c r="J854" s="23" t="str">
        <f aca="false">IF(C854="","",IF(OR(C854="Purchase",C854="Fee",C854="Withdrawal"),-(H854+I854),H854-I854))</f>
        <v/>
      </c>
      <c r="K854" s="2"/>
      <c r="L854" s="2"/>
      <c r="M854" s="2"/>
    </row>
    <row r="855" customFormat="false" ht="15" hidden="false" customHeight="false" outlineLevel="0" collapsed="false">
      <c r="A855" s="2"/>
      <c r="B855" s="11"/>
      <c r="C855" s="2"/>
      <c r="D855" s="2"/>
      <c r="E855" s="2"/>
      <c r="F855" s="2"/>
      <c r="G855" s="2"/>
      <c r="H855" s="23"/>
      <c r="I855" s="23"/>
      <c r="J855" s="23" t="str">
        <f aca="false">IF(C855="","",IF(OR(C855="Purchase",C855="Fee",C855="Withdrawal"),-(H855+I855),H855-I855))</f>
        <v/>
      </c>
      <c r="K855" s="2"/>
      <c r="L855" s="2"/>
      <c r="M855" s="2"/>
    </row>
    <row r="856" customFormat="false" ht="15" hidden="false" customHeight="false" outlineLevel="0" collapsed="false">
      <c r="A856" s="2"/>
      <c r="B856" s="11"/>
      <c r="C856" s="2"/>
      <c r="D856" s="2"/>
      <c r="E856" s="2"/>
      <c r="F856" s="2"/>
      <c r="G856" s="2"/>
      <c r="H856" s="23"/>
      <c r="I856" s="23"/>
      <c r="J856" s="23" t="str">
        <f aca="false">IF(C856="","",IF(OR(C856="Purchase",C856="Fee",C856="Withdrawal"),-(H856+I856),H856-I856))</f>
        <v/>
      </c>
      <c r="K856" s="2"/>
      <c r="L856" s="2"/>
      <c r="M856" s="2"/>
    </row>
    <row r="857" customFormat="false" ht="15" hidden="false" customHeight="false" outlineLevel="0" collapsed="false">
      <c r="A857" s="2"/>
      <c r="B857" s="11"/>
      <c r="C857" s="2"/>
      <c r="D857" s="2"/>
      <c r="E857" s="2"/>
      <c r="F857" s="2"/>
      <c r="G857" s="2"/>
      <c r="H857" s="23"/>
      <c r="I857" s="23"/>
      <c r="J857" s="23" t="str">
        <f aca="false">IF(C857="","",IF(OR(C857="Purchase",C857="Fee",C857="Withdrawal"),-(H857+I857),H857-I857))</f>
        <v/>
      </c>
      <c r="K857" s="2"/>
      <c r="L857" s="2"/>
      <c r="M857" s="2"/>
    </row>
    <row r="858" customFormat="false" ht="15" hidden="false" customHeight="false" outlineLevel="0" collapsed="false">
      <c r="A858" s="2"/>
      <c r="B858" s="11"/>
      <c r="C858" s="2"/>
      <c r="D858" s="2"/>
      <c r="E858" s="2"/>
      <c r="F858" s="2"/>
      <c r="G858" s="2"/>
      <c r="H858" s="23"/>
      <c r="I858" s="23"/>
      <c r="J858" s="23" t="str">
        <f aca="false">IF(C858="","",IF(OR(C858="Purchase",C858="Fee",C858="Withdrawal"),-(H858+I858),H858-I858))</f>
        <v/>
      </c>
      <c r="K858" s="2"/>
      <c r="L858" s="2"/>
      <c r="M858" s="2"/>
    </row>
    <row r="859" customFormat="false" ht="15" hidden="false" customHeight="false" outlineLevel="0" collapsed="false">
      <c r="A859" s="2"/>
      <c r="B859" s="11"/>
      <c r="C859" s="2"/>
      <c r="D859" s="2"/>
      <c r="E859" s="2"/>
      <c r="F859" s="2"/>
      <c r="G859" s="2"/>
      <c r="H859" s="23"/>
      <c r="I859" s="23"/>
      <c r="J859" s="23" t="str">
        <f aca="false">IF(C859="","",IF(OR(C859="Purchase",C859="Fee",C859="Withdrawal"),-(H859+I859),H859-I859))</f>
        <v/>
      </c>
      <c r="K859" s="2"/>
      <c r="L859" s="2"/>
      <c r="M859" s="2"/>
    </row>
    <row r="860" customFormat="false" ht="15" hidden="false" customHeight="false" outlineLevel="0" collapsed="false">
      <c r="A860" s="2"/>
      <c r="B860" s="11"/>
      <c r="C860" s="2"/>
      <c r="D860" s="2"/>
      <c r="E860" s="2"/>
      <c r="F860" s="2"/>
      <c r="G860" s="2"/>
      <c r="H860" s="23"/>
      <c r="I860" s="23"/>
      <c r="J860" s="23" t="str">
        <f aca="false">IF(C860="","",IF(OR(C860="Purchase",C860="Fee",C860="Withdrawal"),-(H860+I860),H860-I860))</f>
        <v/>
      </c>
      <c r="K860" s="2"/>
      <c r="L860" s="2"/>
      <c r="M860" s="2"/>
    </row>
    <row r="861" customFormat="false" ht="15" hidden="false" customHeight="false" outlineLevel="0" collapsed="false">
      <c r="A861" s="2"/>
      <c r="B861" s="11"/>
      <c r="C861" s="2"/>
      <c r="D861" s="2"/>
      <c r="E861" s="2"/>
      <c r="F861" s="2"/>
      <c r="G861" s="2"/>
      <c r="H861" s="23"/>
      <c r="I861" s="23"/>
      <c r="J861" s="23" t="str">
        <f aca="false">IF(C861="","",IF(OR(C861="Purchase",C861="Fee",C861="Withdrawal"),-(H861+I861),H861-I861))</f>
        <v/>
      </c>
      <c r="K861" s="2"/>
      <c r="L861" s="2"/>
      <c r="M861" s="2"/>
    </row>
    <row r="862" customFormat="false" ht="15" hidden="false" customHeight="false" outlineLevel="0" collapsed="false">
      <c r="A862" s="2"/>
      <c r="B862" s="11"/>
      <c r="C862" s="2"/>
      <c r="D862" s="2"/>
      <c r="E862" s="2"/>
      <c r="F862" s="2"/>
      <c r="G862" s="2"/>
      <c r="H862" s="23"/>
      <c r="I862" s="23"/>
      <c r="J862" s="23" t="str">
        <f aca="false">IF(C862="","",IF(OR(C862="Purchase",C862="Fee",C862="Withdrawal"),-(H862+I862),H862-I862))</f>
        <v/>
      </c>
      <c r="K862" s="2"/>
      <c r="L862" s="2"/>
      <c r="M862" s="2"/>
    </row>
    <row r="863" customFormat="false" ht="15" hidden="false" customHeight="false" outlineLevel="0" collapsed="false">
      <c r="A863" s="2"/>
      <c r="B863" s="11"/>
      <c r="C863" s="2"/>
      <c r="D863" s="2"/>
      <c r="E863" s="2"/>
      <c r="F863" s="2"/>
      <c r="G863" s="2"/>
      <c r="H863" s="23"/>
      <c r="I863" s="23"/>
      <c r="J863" s="23" t="str">
        <f aca="false">IF(C863="","",IF(OR(C863="Purchase",C863="Fee",C863="Withdrawal"),-(H863+I863),H863-I863))</f>
        <v/>
      </c>
      <c r="K863" s="2"/>
      <c r="L863" s="2"/>
      <c r="M863" s="2"/>
    </row>
    <row r="864" customFormat="false" ht="15" hidden="false" customHeight="false" outlineLevel="0" collapsed="false">
      <c r="A864" s="2"/>
      <c r="B864" s="11"/>
      <c r="C864" s="2"/>
      <c r="D864" s="2"/>
      <c r="E864" s="2"/>
      <c r="F864" s="2"/>
      <c r="G864" s="2"/>
      <c r="H864" s="23"/>
      <c r="I864" s="23"/>
      <c r="J864" s="23" t="str">
        <f aca="false">IF(C864="","",IF(OR(C864="Purchase",C864="Fee",C864="Withdrawal"),-(H864+I864),H864-I864))</f>
        <v/>
      </c>
      <c r="K864" s="2"/>
      <c r="L864" s="2"/>
      <c r="M864" s="2"/>
    </row>
    <row r="865" customFormat="false" ht="15" hidden="false" customHeight="false" outlineLevel="0" collapsed="false">
      <c r="A865" s="2"/>
      <c r="B865" s="11"/>
      <c r="C865" s="2"/>
      <c r="D865" s="2"/>
      <c r="E865" s="2"/>
      <c r="F865" s="2"/>
      <c r="G865" s="2"/>
      <c r="H865" s="23"/>
      <c r="I865" s="23"/>
      <c r="J865" s="23" t="str">
        <f aca="false">IF(C865="","",IF(OR(C865="Purchase",C865="Fee",C865="Withdrawal"),-(H865+I865),H865-I865))</f>
        <v/>
      </c>
      <c r="K865" s="2"/>
      <c r="L865" s="2"/>
      <c r="M865" s="2"/>
    </row>
    <row r="866" customFormat="false" ht="15" hidden="false" customHeight="false" outlineLevel="0" collapsed="false">
      <c r="A866" s="2"/>
      <c r="B866" s="11"/>
      <c r="C866" s="2"/>
      <c r="D866" s="2"/>
      <c r="E866" s="2"/>
      <c r="F866" s="2"/>
      <c r="G866" s="2"/>
      <c r="H866" s="23"/>
      <c r="I866" s="23"/>
      <c r="J866" s="23" t="str">
        <f aca="false">IF(C866="","",IF(OR(C866="Purchase",C866="Fee",C866="Withdrawal"),-(H866+I866),H866-I866))</f>
        <v/>
      </c>
      <c r="K866" s="2"/>
      <c r="L866" s="2"/>
      <c r="M866" s="2"/>
    </row>
    <row r="867" customFormat="false" ht="15" hidden="false" customHeight="false" outlineLevel="0" collapsed="false">
      <c r="A867" s="2"/>
      <c r="B867" s="11"/>
      <c r="C867" s="2"/>
      <c r="D867" s="2"/>
      <c r="E867" s="2"/>
      <c r="F867" s="2"/>
      <c r="G867" s="2"/>
      <c r="H867" s="23"/>
      <c r="I867" s="23"/>
      <c r="J867" s="23" t="str">
        <f aca="false">IF(C867="","",IF(OR(C867="Purchase",C867="Fee",C867="Withdrawal"),-(H867+I867),H867-I867))</f>
        <v/>
      </c>
      <c r="K867" s="2"/>
      <c r="L867" s="2"/>
      <c r="M867" s="2"/>
    </row>
    <row r="868" customFormat="false" ht="15" hidden="false" customHeight="false" outlineLevel="0" collapsed="false">
      <c r="A868" s="2"/>
      <c r="B868" s="11"/>
      <c r="C868" s="2"/>
      <c r="D868" s="2"/>
      <c r="E868" s="2"/>
      <c r="F868" s="2"/>
      <c r="G868" s="2"/>
      <c r="H868" s="23"/>
      <c r="I868" s="23"/>
      <c r="J868" s="23" t="str">
        <f aca="false">IF(C868="","",IF(OR(C868="Purchase",C868="Fee",C868="Withdrawal"),-(H868+I868),H868-I868))</f>
        <v/>
      </c>
      <c r="K868" s="2"/>
      <c r="L868" s="2"/>
      <c r="M868" s="2"/>
    </row>
    <row r="869" customFormat="false" ht="15" hidden="false" customHeight="false" outlineLevel="0" collapsed="false">
      <c r="A869" s="2"/>
      <c r="B869" s="11"/>
      <c r="C869" s="2"/>
      <c r="D869" s="2"/>
      <c r="E869" s="2"/>
      <c r="F869" s="2"/>
      <c r="G869" s="2"/>
      <c r="H869" s="23"/>
      <c r="I869" s="23"/>
      <c r="J869" s="23" t="str">
        <f aca="false">IF(C869="","",IF(OR(C869="Purchase",C869="Fee",C869="Withdrawal"),-(H869+I869),H869-I869))</f>
        <v/>
      </c>
      <c r="K869" s="2"/>
      <c r="L869" s="2"/>
      <c r="M869" s="2"/>
    </row>
    <row r="870" customFormat="false" ht="15" hidden="false" customHeight="false" outlineLevel="0" collapsed="false">
      <c r="A870" s="2"/>
      <c r="B870" s="11"/>
      <c r="C870" s="2"/>
      <c r="D870" s="2"/>
      <c r="E870" s="2"/>
      <c r="F870" s="2"/>
      <c r="G870" s="2"/>
      <c r="H870" s="23"/>
      <c r="I870" s="23"/>
      <c r="J870" s="23" t="str">
        <f aca="false">IF(C870="","",IF(OR(C870="Purchase",C870="Fee",C870="Withdrawal"),-(H870+I870),H870-I870))</f>
        <v/>
      </c>
      <c r="K870" s="2"/>
      <c r="L870" s="2"/>
      <c r="M870" s="2"/>
    </row>
    <row r="871" customFormat="false" ht="15" hidden="false" customHeight="false" outlineLevel="0" collapsed="false">
      <c r="A871" s="2"/>
      <c r="B871" s="11"/>
      <c r="C871" s="2"/>
      <c r="D871" s="2"/>
      <c r="E871" s="2"/>
      <c r="F871" s="2"/>
      <c r="G871" s="2"/>
      <c r="H871" s="23"/>
      <c r="I871" s="23"/>
      <c r="J871" s="23" t="str">
        <f aca="false">IF(C871="","",IF(OR(C871="Purchase",C871="Fee",C871="Withdrawal"),-(H871+I871),H871-I871))</f>
        <v/>
      </c>
      <c r="K871" s="2"/>
      <c r="L871" s="2"/>
      <c r="M871" s="2"/>
    </row>
    <row r="872" customFormat="false" ht="15" hidden="false" customHeight="false" outlineLevel="0" collapsed="false">
      <c r="A872" s="2"/>
      <c r="B872" s="11"/>
      <c r="C872" s="2"/>
      <c r="D872" s="2"/>
      <c r="E872" s="2"/>
      <c r="F872" s="2"/>
      <c r="G872" s="2"/>
      <c r="H872" s="23"/>
      <c r="I872" s="23"/>
      <c r="J872" s="23" t="str">
        <f aca="false">IF(C872="","",IF(OR(C872="Purchase",C872="Fee",C872="Withdrawal"),-(H872+I872),H872-I872))</f>
        <v/>
      </c>
      <c r="K872" s="2"/>
      <c r="L872" s="2"/>
      <c r="M872" s="2"/>
    </row>
    <row r="873" customFormat="false" ht="15" hidden="false" customHeight="false" outlineLevel="0" collapsed="false">
      <c r="A873" s="2"/>
      <c r="B873" s="11"/>
      <c r="C873" s="2"/>
      <c r="D873" s="2"/>
      <c r="E873" s="2"/>
      <c r="F873" s="2"/>
      <c r="G873" s="2"/>
      <c r="H873" s="23"/>
      <c r="I873" s="23"/>
      <c r="J873" s="23" t="str">
        <f aca="false">IF(C873="","",IF(OR(C873="Purchase",C873="Fee",C873="Withdrawal"),-(H873+I873),H873-I873))</f>
        <v/>
      </c>
      <c r="K873" s="2"/>
      <c r="L873" s="2"/>
      <c r="M873" s="2"/>
    </row>
    <row r="874" customFormat="false" ht="15" hidden="false" customHeight="false" outlineLevel="0" collapsed="false">
      <c r="A874" s="2"/>
      <c r="B874" s="11"/>
      <c r="C874" s="2"/>
      <c r="D874" s="2"/>
      <c r="E874" s="2"/>
      <c r="F874" s="2"/>
      <c r="G874" s="2"/>
      <c r="H874" s="23"/>
      <c r="I874" s="23"/>
      <c r="J874" s="23" t="str">
        <f aca="false">IF(C874="","",IF(OR(C874="Purchase",C874="Fee",C874="Withdrawal"),-(H874+I874),H874-I874))</f>
        <v/>
      </c>
      <c r="K874" s="2"/>
      <c r="L874" s="2"/>
      <c r="M874" s="2"/>
    </row>
    <row r="875" customFormat="false" ht="15" hidden="false" customHeight="false" outlineLevel="0" collapsed="false">
      <c r="A875" s="2"/>
      <c r="B875" s="11"/>
      <c r="C875" s="2"/>
      <c r="D875" s="2"/>
      <c r="E875" s="2"/>
      <c r="F875" s="2"/>
      <c r="G875" s="2"/>
      <c r="H875" s="23"/>
      <c r="I875" s="23"/>
      <c r="J875" s="23" t="str">
        <f aca="false">IF(C875="","",IF(OR(C875="Purchase",C875="Fee",C875="Withdrawal"),-(H875+I875),H875-I875))</f>
        <v/>
      </c>
      <c r="K875" s="2"/>
      <c r="L875" s="2"/>
      <c r="M875" s="2"/>
    </row>
    <row r="876" customFormat="false" ht="15" hidden="false" customHeight="false" outlineLevel="0" collapsed="false">
      <c r="A876" s="2"/>
      <c r="B876" s="11"/>
      <c r="C876" s="2"/>
      <c r="D876" s="2"/>
      <c r="E876" s="2"/>
      <c r="F876" s="2"/>
      <c r="G876" s="2"/>
      <c r="H876" s="23"/>
      <c r="I876" s="23"/>
      <c r="J876" s="23" t="str">
        <f aca="false">IF(C876="","",IF(OR(C876="Purchase",C876="Fee",C876="Withdrawal"),-(H876+I876),H876-I876))</f>
        <v/>
      </c>
      <c r="K876" s="2"/>
      <c r="L876" s="2"/>
      <c r="M876" s="2"/>
    </row>
    <row r="877" customFormat="false" ht="15" hidden="false" customHeight="false" outlineLevel="0" collapsed="false">
      <c r="A877" s="2"/>
      <c r="B877" s="11"/>
      <c r="C877" s="2"/>
      <c r="D877" s="2"/>
      <c r="E877" s="2"/>
      <c r="F877" s="2"/>
      <c r="G877" s="2"/>
      <c r="H877" s="23"/>
      <c r="I877" s="23"/>
      <c r="J877" s="23" t="str">
        <f aca="false">IF(C877="","",IF(OR(C877="Purchase",C877="Fee",C877="Withdrawal"),-(H877+I877),H877-I877))</f>
        <v/>
      </c>
      <c r="K877" s="2"/>
      <c r="L877" s="2"/>
      <c r="M877" s="2"/>
    </row>
    <row r="878" customFormat="false" ht="15" hidden="false" customHeight="false" outlineLevel="0" collapsed="false">
      <c r="A878" s="2"/>
      <c r="B878" s="11"/>
      <c r="C878" s="2"/>
      <c r="D878" s="2"/>
      <c r="E878" s="2"/>
      <c r="F878" s="2"/>
      <c r="G878" s="2"/>
      <c r="H878" s="23"/>
      <c r="I878" s="23"/>
      <c r="J878" s="23" t="str">
        <f aca="false">IF(C878="","",IF(OR(C878="Purchase",C878="Fee",C878="Withdrawal"),-(H878+I878),H878-I878))</f>
        <v/>
      </c>
      <c r="K878" s="2"/>
      <c r="L878" s="2"/>
      <c r="M878" s="2"/>
    </row>
    <row r="879" customFormat="false" ht="15" hidden="false" customHeight="false" outlineLevel="0" collapsed="false">
      <c r="A879" s="2"/>
      <c r="B879" s="11"/>
      <c r="C879" s="2"/>
      <c r="D879" s="2"/>
      <c r="E879" s="2"/>
      <c r="F879" s="2"/>
      <c r="G879" s="2"/>
      <c r="H879" s="23"/>
      <c r="I879" s="23"/>
      <c r="J879" s="23" t="str">
        <f aca="false">IF(C879="","",IF(OR(C879="Purchase",C879="Fee",C879="Withdrawal"),-(H879+I879),H879-I879))</f>
        <v/>
      </c>
      <c r="K879" s="2"/>
      <c r="L879" s="2"/>
      <c r="M879" s="2"/>
    </row>
    <row r="880" customFormat="false" ht="15" hidden="false" customHeight="false" outlineLevel="0" collapsed="false">
      <c r="A880" s="2"/>
      <c r="B880" s="11"/>
      <c r="C880" s="2"/>
      <c r="D880" s="2"/>
      <c r="E880" s="2"/>
      <c r="F880" s="2"/>
      <c r="G880" s="2"/>
      <c r="H880" s="23"/>
      <c r="I880" s="23"/>
      <c r="J880" s="23" t="str">
        <f aca="false">IF(C880="","",IF(OR(C880="Purchase",C880="Fee",C880="Withdrawal"),-(H880+I880),H880-I880))</f>
        <v/>
      </c>
      <c r="K880" s="2"/>
      <c r="L880" s="2"/>
      <c r="M880" s="2"/>
    </row>
    <row r="881" customFormat="false" ht="15" hidden="false" customHeight="false" outlineLevel="0" collapsed="false">
      <c r="A881" s="2"/>
      <c r="B881" s="11"/>
      <c r="C881" s="2"/>
      <c r="D881" s="2"/>
      <c r="E881" s="2"/>
      <c r="F881" s="2"/>
      <c r="G881" s="2"/>
      <c r="H881" s="23"/>
      <c r="I881" s="23"/>
      <c r="J881" s="23" t="str">
        <f aca="false">IF(C881="","",IF(OR(C881="Purchase",C881="Fee",C881="Withdrawal"),-(H881+I881),H881-I881))</f>
        <v/>
      </c>
      <c r="K881" s="2"/>
      <c r="L881" s="2"/>
      <c r="M881" s="2"/>
    </row>
    <row r="882" customFormat="false" ht="15" hidden="false" customHeight="false" outlineLevel="0" collapsed="false">
      <c r="A882" s="2"/>
      <c r="B882" s="11"/>
      <c r="C882" s="2"/>
      <c r="D882" s="2"/>
      <c r="E882" s="2"/>
      <c r="F882" s="2"/>
      <c r="G882" s="2"/>
      <c r="H882" s="23"/>
      <c r="I882" s="23"/>
      <c r="J882" s="23" t="str">
        <f aca="false">IF(C882="","",IF(OR(C882="Purchase",C882="Fee",C882="Withdrawal"),-(H882+I882),H882-I882))</f>
        <v/>
      </c>
      <c r="K882" s="2"/>
      <c r="L882" s="2"/>
      <c r="M882" s="2"/>
    </row>
    <row r="883" customFormat="false" ht="15" hidden="false" customHeight="false" outlineLevel="0" collapsed="false">
      <c r="A883" s="2"/>
      <c r="B883" s="11"/>
      <c r="C883" s="2"/>
      <c r="D883" s="2"/>
      <c r="E883" s="2"/>
      <c r="F883" s="2"/>
      <c r="G883" s="2"/>
      <c r="H883" s="23"/>
      <c r="I883" s="23"/>
      <c r="J883" s="23" t="str">
        <f aca="false">IF(C883="","",IF(OR(C883="Purchase",C883="Fee",C883="Withdrawal"),-(H883+I883),H883-I883))</f>
        <v/>
      </c>
      <c r="K883" s="2"/>
      <c r="L883" s="2"/>
      <c r="M883" s="2"/>
    </row>
    <row r="884" customFormat="false" ht="15" hidden="false" customHeight="false" outlineLevel="0" collapsed="false">
      <c r="A884" s="2"/>
      <c r="B884" s="11"/>
      <c r="C884" s="2"/>
      <c r="D884" s="2"/>
      <c r="E884" s="2"/>
      <c r="F884" s="2"/>
      <c r="G884" s="2"/>
      <c r="H884" s="23"/>
      <c r="I884" s="23"/>
      <c r="J884" s="23" t="str">
        <f aca="false">IF(C884="","",IF(OR(C884="Purchase",C884="Fee",C884="Withdrawal"),-(H884+I884),H884-I884))</f>
        <v/>
      </c>
      <c r="K884" s="2"/>
      <c r="L884" s="2"/>
      <c r="M884" s="2"/>
    </row>
    <row r="885" customFormat="false" ht="15" hidden="false" customHeight="false" outlineLevel="0" collapsed="false">
      <c r="A885" s="2"/>
      <c r="B885" s="11"/>
      <c r="C885" s="2"/>
      <c r="D885" s="2"/>
      <c r="E885" s="2"/>
      <c r="F885" s="2"/>
      <c r="G885" s="2"/>
      <c r="H885" s="23"/>
      <c r="I885" s="23"/>
      <c r="J885" s="23" t="str">
        <f aca="false">IF(C885="","",IF(OR(C885="Purchase",C885="Fee",C885="Withdrawal"),-(H885+I885),H885-I885))</f>
        <v/>
      </c>
      <c r="K885" s="2"/>
      <c r="L885" s="2"/>
      <c r="M885" s="2"/>
    </row>
    <row r="886" customFormat="false" ht="15" hidden="false" customHeight="false" outlineLevel="0" collapsed="false">
      <c r="A886" s="2"/>
      <c r="B886" s="11"/>
      <c r="C886" s="2"/>
      <c r="D886" s="2"/>
      <c r="E886" s="2"/>
      <c r="F886" s="2"/>
      <c r="G886" s="2"/>
      <c r="H886" s="23"/>
      <c r="I886" s="23"/>
      <c r="J886" s="23" t="str">
        <f aca="false">IF(C886="","",IF(OR(C886="Purchase",C886="Fee",C886="Withdrawal"),-(H886+I886),H886-I886))</f>
        <v/>
      </c>
      <c r="K886" s="2"/>
      <c r="L886" s="2"/>
      <c r="M886" s="2"/>
    </row>
    <row r="887" customFormat="false" ht="15" hidden="false" customHeight="false" outlineLevel="0" collapsed="false">
      <c r="A887" s="2"/>
      <c r="B887" s="11"/>
      <c r="C887" s="2"/>
      <c r="D887" s="2"/>
      <c r="E887" s="2"/>
      <c r="F887" s="2"/>
      <c r="G887" s="2"/>
      <c r="H887" s="23"/>
      <c r="I887" s="23"/>
      <c r="J887" s="23" t="str">
        <f aca="false">IF(C887="","",IF(OR(C887="Purchase",C887="Fee",C887="Withdrawal"),-(H887+I887),H887-I887))</f>
        <v/>
      </c>
      <c r="K887" s="2"/>
      <c r="L887" s="2"/>
      <c r="M887" s="2"/>
    </row>
    <row r="888" customFormat="false" ht="15" hidden="false" customHeight="false" outlineLevel="0" collapsed="false">
      <c r="A888" s="2"/>
      <c r="B888" s="11"/>
      <c r="C888" s="2"/>
      <c r="D888" s="2"/>
      <c r="E888" s="2"/>
      <c r="F888" s="2"/>
      <c r="G888" s="2"/>
      <c r="H888" s="23"/>
      <c r="I888" s="23"/>
      <c r="J888" s="23" t="str">
        <f aca="false">IF(C888="","",IF(OR(C888="Purchase",C888="Fee",C888="Withdrawal"),-(H888+I888),H888-I888))</f>
        <v/>
      </c>
      <c r="K888" s="2"/>
      <c r="L888" s="2"/>
      <c r="M888" s="2"/>
    </row>
    <row r="889" customFormat="false" ht="15" hidden="false" customHeight="false" outlineLevel="0" collapsed="false">
      <c r="A889" s="2"/>
      <c r="B889" s="11"/>
      <c r="C889" s="2"/>
      <c r="D889" s="2"/>
      <c r="E889" s="2"/>
      <c r="F889" s="2"/>
      <c r="G889" s="2"/>
      <c r="H889" s="23"/>
      <c r="I889" s="23"/>
      <c r="J889" s="23" t="str">
        <f aca="false">IF(C889="","",IF(OR(C889="Purchase",C889="Fee",C889="Withdrawal"),-(H889+I889),H889-I889))</f>
        <v/>
      </c>
      <c r="K889" s="2"/>
      <c r="L889" s="2"/>
      <c r="M889" s="2"/>
    </row>
    <row r="890" customFormat="false" ht="15" hidden="false" customHeight="false" outlineLevel="0" collapsed="false">
      <c r="A890" s="2"/>
      <c r="B890" s="11"/>
      <c r="C890" s="2"/>
      <c r="D890" s="2"/>
      <c r="E890" s="2"/>
      <c r="F890" s="2"/>
      <c r="G890" s="2"/>
      <c r="H890" s="23"/>
      <c r="I890" s="23"/>
      <c r="J890" s="23" t="str">
        <f aca="false">IF(C890="","",IF(OR(C890="Purchase",C890="Fee",C890="Withdrawal"),-(H890+I890),H890-I890))</f>
        <v/>
      </c>
      <c r="K890" s="2"/>
      <c r="L890" s="2"/>
      <c r="M890" s="2"/>
    </row>
    <row r="891" customFormat="false" ht="15" hidden="false" customHeight="false" outlineLevel="0" collapsed="false">
      <c r="A891" s="2"/>
      <c r="B891" s="11"/>
      <c r="C891" s="2"/>
      <c r="D891" s="2"/>
      <c r="E891" s="2"/>
      <c r="F891" s="2"/>
      <c r="G891" s="2"/>
      <c r="H891" s="23"/>
      <c r="I891" s="23"/>
      <c r="J891" s="23" t="str">
        <f aca="false">IF(C891="","",IF(OR(C891="Purchase",C891="Fee",C891="Withdrawal"),-(H891+I891),H891-I891))</f>
        <v/>
      </c>
      <c r="K891" s="2"/>
      <c r="L891" s="2"/>
      <c r="M891" s="2"/>
    </row>
    <row r="892" customFormat="false" ht="15" hidden="false" customHeight="false" outlineLevel="0" collapsed="false">
      <c r="A892" s="2"/>
      <c r="B892" s="11"/>
      <c r="C892" s="2"/>
      <c r="D892" s="2"/>
      <c r="E892" s="2"/>
      <c r="F892" s="2"/>
      <c r="G892" s="2"/>
      <c r="H892" s="23"/>
      <c r="I892" s="23"/>
      <c r="J892" s="23" t="str">
        <f aca="false">IF(C892="","",IF(OR(C892="Purchase",C892="Fee",C892="Withdrawal"),-(H892+I892),H892-I892))</f>
        <v/>
      </c>
      <c r="K892" s="2"/>
      <c r="L892" s="2"/>
      <c r="M892" s="2"/>
    </row>
    <row r="893" customFormat="false" ht="15" hidden="false" customHeight="false" outlineLevel="0" collapsed="false">
      <c r="A893" s="2"/>
      <c r="B893" s="11"/>
      <c r="C893" s="2"/>
      <c r="D893" s="2"/>
      <c r="E893" s="2"/>
      <c r="F893" s="2"/>
      <c r="G893" s="2"/>
      <c r="H893" s="23"/>
      <c r="I893" s="23"/>
      <c r="J893" s="23" t="str">
        <f aca="false">IF(C893="","",IF(OR(C893="Purchase",C893="Fee",C893="Withdrawal"),-(H893+I893),H893-I893))</f>
        <v/>
      </c>
      <c r="K893" s="2"/>
      <c r="L893" s="2"/>
      <c r="M893" s="2"/>
    </row>
    <row r="894" customFormat="false" ht="15" hidden="false" customHeight="false" outlineLevel="0" collapsed="false">
      <c r="A894" s="2"/>
      <c r="B894" s="11"/>
      <c r="C894" s="2"/>
      <c r="D894" s="2"/>
      <c r="E894" s="2"/>
      <c r="F894" s="2"/>
      <c r="G894" s="2"/>
      <c r="H894" s="23"/>
      <c r="I894" s="23"/>
      <c r="J894" s="23" t="str">
        <f aca="false">IF(C894="","",IF(OR(C894="Purchase",C894="Fee",C894="Withdrawal"),-(H894+I894),H894-I894))</f>
        <v/>
      </c>
      <c r="K894" s="2"/>
      <c r="L894" s="2"/>
      <c r="M894" s="2"/>
    </row>
    <row r="895" customFormat="false" ht="15" hidden="false" customHeight="false" outlineLevel="0" collapsed="false">
      <c r="A895" s="2"/>
      <c r="B895" s="11"/>
      <c r="C895" s="2"/>
      <c r="D895" s="2"/>
      <c r="E895" s="2"/>
      <c r="F895" s="2"/>
      <c r="G895" s="2"/>
      <c r="H895" s="23"/>
      <c r="I895" s="23"/>
      <c r="J895" s="23" t="str">
        <f aca="false">IF(C895="","",IF(OR(C895="Purchase",C895="Fee",C895="Withdrawal"),-(H895+I895),H895-I895))</f>
        <v/>
      </c>
      <c r="K895" s="2"/>
      <c r="L895" s="2"/>
      <c r="M895" s="2"/>
    </row>
    <row r="896" customFormat="false" ht="15" hidden="false" customHeight="false" outlineLevel="0" collapsed="false">
      <c r="A896" s="2"/>
      <c r="B896" s="11"/>
      <c r="C896" s="2"/>
      <c r="D896" s="2"/>
      <c r="E896" s="2"/>
      <c r="F896" s="2"/>
      <c r="G896" s="2"/>
      <c r="H896" s="23"/>
      <c r="I896" s="23"/>
      <c r="J896" s="23" t="str">
        <f aca="false">IF(C896="","",IF(OR(C896="Purchase",C896="Fee",C896="Withdrawal"),-(H896+I896),H896-I896))</f>
        <v/>
      </c>
      <c r="K896" s="2"/>
      <c r="L896" s="2"/>
      <c r="M896" s="2"/>
    </row>
    <row r="897" customFormat="false" ht="15" hidden="false" customHeight="false" outlineLevel="0" collapsed="false">
      <c r="A897" s="2"/>
      <c r="B897" s="11"/>
      <c r="C897" s="2"/>
      <c r="D897" s="2"/>
      <c r="E897" s="2"/>
      <c r="F897" s="2"/>
      <c r="G897" s="2"/>
      <c r="H897" s="23"/>
      <c r="I897" s="23"/>
      <c r="J897" s="23" t="str">
        <f aca="false">IF(C897="","",IF(OR(C897="Purchase",C897="Fee",C897="Withdrawal"),-(H897+I897),H897-I897))</f>
        <v/>
      </c>
      <c r="K897" s="2"/>
      <c r="L897" s="2"/>
      <c r="M897" s="2"/>
    </row>
    <row r="898" customFormat="false" ht="15" hidden="false" customHeight="false" outlineLevel="0" collapsed="false">
      <c r="A898" s="2"/>
      <c r="B898" s="11"/>
      <c r="C898" s="2"/>
      <c r="D898" s="2"/>
      <c r="E898" s="2"/>
      <c r="F898" s="2"/>
      <c r="G898" s="2"/>
      <c r="H898" s="23"/>
      <c r="I898" s="23"/>
      <c r="J898" s="23" t="str">
        <f aca="false">IF(C898="","",IF(OR(C898="Purchase",C898="Fee",C898="Withdrawal"),-(H898+I898),H898-I898))</f>
        <v/>
      </c>
      <c r="K898" s="2"/>
      <c r="L898" s="2"/>
      <c r="M898" s="2"/>
    </row>
    <row r="899" customFormat="false" ht="15" hidden="false" customHeight="false" outlineLevel="0" collapsed="false">
      <c r="A899" s="2"/>
      <c r="B899" s="11"/>
      <c r="C899" s="2"/>
      <c r="D899" s="2"/>
      <c r="E899" s="2"/>
      <c r="F899" s="2"/>
      <c r="G899" s="2"/>
      <c r="H899" s="23"/>
      <c r="I899" s="23"/>
      <c r="J899" s="23" t="str">
        <f aca="false">IF(C899="","",IF(OR(C899="Purchase",C899="Fee",C899="Withdrawal"),-(H899+I899),H899-I899))</f>
        <v/>
      </c>
      <c r="K899" s="2"/>
      <c r="L899" s="2"/>
      <c r="M899" s="2"/>
    </row>
    <row r="900" customFormat="false" ht="15" hidden="false" customHeight="false" outlineLevel="0" collapsed="false">
      <c r="A900" s="2"/>
      <c r="B900" s="11"/>
      <c r="C900" s="2"/>
      <c r="D900" s="2"/>
      <c r="E900" s="2"/>
      <c r="F900" s="2"/>
      <c r="G900" s="2"/>
      <c r="H900" s="23"/>
      <c r="I900" s="23"/>
      <c r="J900" s="23" t="str">
        <f aca="false">IF(C900="","",IF(OR(C900="Purchase",C900="Fee",C900="Withdrawal"),-(H900+I900),H900-I900))</f>
        <v/>
      </c>
      <c r="K900" s="2"/>
      <c r="L900" s="2"/>
      <c r="M900" s="2"/>
    </row>
    <row r="901" customFormat="false" ht="15" hidden="false" customHeight="false" outlineLevel="0" collapsed="false">
      <c r="A901" s="2"/>
      <c r="B901" s="11"/>
      <c r="C901" s="2"/>
      <c r="D901" s="2"/>
      <c r="E901" s="2"/>
      <c r="F901" s="2"/>
      <c r="G901" s="2"/>
      <c r="H901" s="23"/>
      <c r="I901" s="23"/>
      <c r="J901" s="23" t="str">
        <f aca="false">IF(C901="","",IF(OR(C901="Purchase",C901="Fee",C901="Withdrawal"),-(H901+I901),H901-I901))</f>
        <v/>
      </c>
      <c r="K901" s="2"/>
      <c r="L901" s="2"/>
      <c r="M901" s="2"/>
    </row>
    <row r="902" customFormat="false" ht="15" hidden="false" customHeight="false" outlineLevel="0" collapsed="false">
      <c r="A902" s="2"/>
      <c r="B902" s="11"/>
      <c r="C902" s="2"/>
      <c r="D902" s="2"/>
      <c r="E902" s="2"/>
      <c r="F902" s="2"/>
      <c r="G902" s="2"/>
      <c r="H902" s="23"/>
      <c r="I902" s="23"/>
      <c r="J902" s="23" t="str">
        <f aca="false">IF(C902="","",IF(OR(C902="Purchase",C902="Fee",C902="Withdrawal"),-(H902+I902),H902-I902))</f>
        <v/>
      </c>
      <c r="K902" s="2"/>
      <c r="L902" s="2"/>
      <c r="M902" s="2"/>
    </row>
    <row r="903" customFormat="false" ht="15" hidden="false" customHeight="false" outlineLevel="0" collapsed="false">
      <c r="A903" s="2"/>
      <c r="B903" s="11"/>
      <c r="C903" s="2"/>
      <c r="D903" s="2"/>
      <c r="E903" s="2"/>
      <c r="F903" s="2"/>
      <c r="G903" s="2"/>
      <c r="H903" s="23"/>
      <c r="I903" s="23"/>
      <c r="J903" s="23" t="str">
        <f aca="false">IF(C903="","",IF(OR(C903="Purchase",C903="Fee",C903="Withdrawal"),-(H903+I903),H903-I903))</f>
        <v/>
      </c>
      <c r="K903" s="2"/>
      <c r="L903" s="2"/>
      <c r="M903" s="2"/>
    </row>
    <row r="904" customFormat="false" ht="15" hidden="false" customHeight="false" outlineLevel="0" collapsed="false">
      <c r="A904" s="2"/>
      <c r="B904" s="11"/>
      <c r="C904" s="2"/>
      <c r="D904" s="2"/>
      <c r="E904" s="2"/>
      <c r="F904" s="2"/>
      <c r="G904" s="2"/>
      <c r="H904" s="23"/>
      <c r="I904" s="23"/>
      <c r="J904" s="23" t="str">
        <f aca="false">IF(C904="","",IF(OR(C904="Purchase",C904="Fee",C904="Withdrawal"),-(H904+I904),H904-I904))</f>
        <v/>
      </c>
      <c r="K904" s="2"/>
      <c r="L904" s="2"/>
      <c r="M904" s="2"/>
    </row>
    <row r="905" customFormat="false" ht="15" hidden="false" customHeight="false" outlineLevel="0" collapsed="false">
      <c r="A905" s="2"/>
      <c r="B905" s="11"/>
      <c r="C905" s="2"/>
      <c r="D905" s="2"/>
      <c r="E905" s="2"/>
      <c r="F905" s="2"/>
      <c r="G905" s="2"/>
      <c r="H905" s="23"/>
      <c r="I905" s="23"/>
      <c r="J905" s="23" t="str">
        <f aca="false">IF(C905="","",IF(OR(C905="Purchase",C905="Fee",C905="Withdrawal"),-(H905+I905),H905-I905))</f>
        <v/>
      </c>
      <c r="K905" s="2"/>
      <c r="L905" s="2"/>
      <c r="M905" s="2"/>
    </row>
    <row r="906" customFormat="false" ht="15" hidden="false" customHeight="false" outlineLevel="0" collapsed="false">
      <c r="A906" s="2"/>
      <c r="B906" s="11"/>
      <c r="C906" s="2"/>
      <c r="D906" s="2"/>
      <c r="E906" s="2"/>
      <c r="F906" s="2"/>
      <c r="G906" s="2"/>
      <c r="H906" s="23"/>
      <c r="I906" s="23"/>
      <c r="J906" s="23" t="str">
        <f aca="false">IF(C906="","",IF(OR(C906="Purchase",C906="Fee",C906="Withdrawal"),-(H906+I906),H906-I906))</f>
        <v/>
      </c>
      <c r="K906" s="2"/>
      <c r="L906" s="2"/>
      <c r="M906" s="2"/>
    </row>
    <row r="907" customFormat="false" ht="15" hidden="false" customHeight="false" outlineLevel="0" collapsed="false">
      <c r="A907" s="2"/>
      <c r="B907" s="11"/>
      <c r="C907" s="2"/>
      <c r="D907" s="2"/>
      <c r="E907" s="2"/>
      <c r="F907" s="2"/>
      <c r="G907" s="2"/>
      <c r="H907" s="23"/>
      <c r="I907" s="23"/>
      <c r="J907" s="23" t="str">
        <f aca="false">IF(C907="","",IF(OR(C907="Purchase",C907="Fee",C907="Withdrawal"),-(H907+I907),H907-I907))</f>
        <v/>
      </c>
      <c r="K907" s="2"/>
      <c r="L907" s="2"/>
      <c r="M907" s="2"/>
    </row>
    <row r="908" customFormat="false" ht="15" hidden="false" customHeight="false" outlineLevel="0" collapsed="false">
      <c r="A908" s="2"/>
      <c r="B908" s="11"/>
      <c r="C908" s="2"/>
      <c r="D908" s="2"/>
      <c r="E908" s="2"/>
      <c r="F908" s="2"/>
      <c r="G908" s="2"/>
      <c r="H908" s="23"/>
      <c r="I908" s="23"/>
      <c r="J908" s="23" t="str">
        <f aca="false">IF(C908="","",IF(OR(C908="Purchase",C908="Fee",C908="Withdrawal"),-(H908+I908),H908-I908))</f>
        <v/>
      </c>
      <c r="K908" s="2"/>
      <c r="L908" s="2"/>
      <c r="M908" s="2"/>
    </row>
    <row r="909" customFormat="false" ht="15" hidden="false" customHeight="false" outlineLevel="0" collapsed="false">
      <c r="A909" s="2"/>
      <c r="B909" s="11"/>
      <c r="C909" s="2"/>
      <c r="D909" s="2"/>
      <c r="E909" s="2"/>
      <c r="F909" s="2"/>
      <c r="G909" s="2"/>
      <c r="H909" s="23"/>
      <c r="I909" s="23"/>
      <c r="J909" s="23" t="str">
        <f aca="false">IF(C909="","",IF(OR(C909="Purchase",C909="Fee",C909="Withdrawal"),-(H909+I909),H909-I909))</f>
        <v/>
      </c>
      <c r="K909" s="2"/>
      <c r="L909" s="2"/>
      <c r="M909" s="2"/>
    </row>
    <row r="910" customFormat="false" ht="15" hidden="false" customHeight="false" outlineLevel="0" collapsed="false">
      <c r="A910" s="2"/>
      <c r="B910" s="11"/>
      <c r="C910" s="2"/>
      <c r="D910" s="2"/>
      <c r="E910" s="2"/>
      <c r="F910" s="2"/>
      <c r="G910" s="2"/>
      <c r="H910" s="23"/>
      <c r="I910" s="23"/>
      <c r="J910" s="23" t="str">
        <f aca="false">IF(C910="","",IF(OR(C910="Purchase",C910="Fee",C910="Withdrawal"),-(H910+I910),H910-I910))</f>
        <v/>
      </c>
      <c r="K910" s="2"/>
      <c r="L910" s="2"/>
      <c r="M910" s="2"/>
    </row>
    <row r="911" customFormat="false" ht="15" hidden="false" customHeight="false" outlineLevel="0" collapsed="false">
      <c r="A911" s="2"/>
      <c r="B911" s="11"/>
      <c r="C911" s="2"/>
      <c r="D911" s="2"/>
      <c r="E911" s="2"/>
      <c r="F911" s="2"/>
      <c r="G911" s="2"/>
      <c r="H911" s="23"/>
      <c r="I911" s="23"/>
      <c r="J911" s="23" t="str">
        <f aca="false">IF(C911="","",IF(OR(C911="Purchase",C911="Fee",C911="Withdrawal"),-(H911+I911),H911-I911))</f>
        <v/>
      </c>
      <c r="K911" s="2"/>
      <c r="L911" s="2"/>
      <c r="M911" s="2"/>
    </row>
    <row r="912" customFormat="false" ht="15" hidden="false" customHeight="false" outlineLevel="0" collapsed="false">
      <c r="A912" s="2"/>
      <c r="B912" s="11"/>
      <c r="C912" s="2"/>
      <c r="D912" s="2"/>
      <c r="E912" s="2"/>
      <c r="F912" s="2"/>
      <c r="G912" s="2"/>
      <c r="H912" s="23"/>
      <c r="I912" s="23"/>
      <c r="J912" s="23" t="str">
        <f aca="false">IF(C912="","",IF(OR(C912="Purchase",C912="Fee",C912="Withdrawal"),-(H912+I912),H912-I912))</f>
        <v/>
      </c>
      <c r="K912" s="2"/>
      <c r="L912" s="2"/>
      <c r="M912" s="2"/>
    </row>
    <row r="913" customFormat="false" ht="15" hidden="false" customHeight="false" outlineLevel="0" collapsed="false">
      <c r="A913" s="2"/>
      <c r="B913" s="11"/>
      <c r="C913" s="2"/>
      <c r="D913" s="2"/>
      <c r="E913" s="2"/>
      <c r="F913" s="2"/>
      <c r="G913" s="2"/>
      <c r="H913" s="23"/>
      <c r="I913" s="23"/>
      <c r="J913" s="23" t="str">
        <f aca="false">IF(C913="","",IF(OR(C913="Purchase",C913="Fee",C913="Withdrawal"),-(H913+I913),H913-I913))</f>
        <v/>
      </c>
      <c r="K913" s="2"/>
      <c r="L913" s="2"/>
      <c r="M913" s="2"/>
    </row>
    <row r="914" customFormat="false" ht="15" hidden="false" customHeight="false" outlineLevel="0" collapsed="false">
      <c r="A914" s="2"/>
      <c r="B914" s="11"/>
      <c r="C914" s="2"/>
      <c r="D914" s="2"/>
      <c r="E914" s="2"/>
      <c r="F914" s="2"/>
      <c r="G914" s="2"/>
      <c r="H914" s="23"/>
      <c r="I914" s="23"/>
      <c r="J914" s="23" t="str">
        <f aca="false">IF(C914="","",IF(OR(C914="Purchase",C914="Fee",C914="Withdrawal"),-(H914+I914),H914-I914))</f>
        <v/>
      </c>
      <c r="K914" s="2"/>
      <c r="L914" s="2"/>
      <c r="M914" s="2"/>
    </row>
    <row r="915" customFormat="false" ht="15" hidden="false" customHeight="false" outlineLevel="0" collapsed="false">
      <c r="A915" s="2"/>
      <c r="B915" s="11"/>
      <c r="C915" s="2"/>
      <c r="D915" s="2"/>
      <c r="E915" s="2"/>
      <c r="F915" s="2"/>
      <c r="G915" s="2"/>
      <c r="H915" s="23"/>
      <c r="I915" s="23"/>
      <c r="J915" s="23" t="str">
        <f aca="false">IF(C915="","",IF(OR(C915="Purchase",C915="Fee",C915="Withdrawal"),-(H915+I915),H915-I915))</f>
        <v/>
      </c>
      <c r="K915" s="2"/>
      <c r="L915" s="2"/>
      <c r="M915" s="2"/>
    </row>
    <row r="916" customFormat="false" ht="15" hidden="false" customHeight="false" outlineLevel="0" collapsed="false">
      <c r="A916" s="2"/>
      <c r="B916" s="11"/>
      <c r="C916" s="2"/>
      <c r="D916" s="2"/>
      <c r="E916" s="2"/>
      <c r="F916" s="2"/>
      <c r="G916" s="2"/>
      <c r="H916" s="23"/>
      <c r="I916" s="23"/>
      <c r="J916" s="23" t="str">
        <f aca="false">IF(C916="","",IF(OR(C916="Purchase",C916="Fee",C916="Withdrawal"),-(H916+I916),H916-I916))</f>
        <v/>
      </c>
      <c r="K916" s="2"/>
      <c r="L916" s="2"/>
      <c r="M916" s="2"/>
    </row>
    <row r="917" customFormat="false" ht="15" hidden="false" customHeight="false" outlineLevel="0" collapsed="false">
      <c r="A917" s="2"/>
      <c r="B917" s="11"/>
      <c r="C917" s="2"/>
      <c r="D917" s="2"/>
      <c r="E917" s="2"/>
      <c r="F917" s="2"/>
      <c r="G917" s="2"/>
      <c r="H917" s="23"/>
      <c r="I917" s="23"/>
      <c r="J917" s="23" t="str">
        <f aca="false">IF(C917="","",IF(OR(C917="Purchase",C917="Fee",C917="Withdrawal"),-(H917+I917),H917-I917))</f>
        <v/>
      </c>
      <c r="K917" s="2"/>
      <c r="L917" s="2"/>
      <c r="M917" s="2"/>
    </row>
    <row r="918" customFormat="false" ht="15" hidden="false" customHeight="false" outlineLevel="0" collapsed="false">
      <c r="A918" s="2"/>
      <c r="B918" s="11"/>
      <c r="C918" s="2"/>
      <c r="D918" s="2"/>
      <c r="E918" s="2"/>
      <c r="F918" s="2"/>
      <c r="G918" s="2"/>
      <c r="H918" s="23"/>
      <c r="I918" s="23"/>
      <c r="J918" s="23" t="str">
        <f aca="false">IF(C918="","",IF(OR(C918="Purchase",C918="Fee",C918="Withdrawal"),-(H918+I918),H918-I918))</f>
        <v/>
      </c>
      <c r="K918" s="2"/>
      <c r="L918" s="2"/>
      <c r="M918" s="2"/>
    </row>
    <row r="919" customFormat="false" ht="15" hidden="false" customHeight="false" outlineLevel="0" collapsed="false">
      <c r="A919" s="2"/>
      <c r="B919" s="11"/>
      <c r="C919" s="2"/>
      <c r="D919" s="2"/>
      <c r="E919" s="2"/>
      <c r="F919" s="2"/>
      <c r="G919" s="2"/>
      <c r="H919" s="23"/>
      <c r="I919" s="23"/>
      <c r="J919" s="23" t="str">
        <f aca="false">IF(C919="","",IF(OR(C919="Purchase",C919="Fee",C919="Withdrawal"),-(H919+I919),H919-I919))</f>
        <v/>
      </c>
      <c r="K919" s="2"/>
      <c r="L919" s="2"/>
      <c r="M919" s="2"/>
    </row>
    <row r="920" customFormat="false" ht="15" hidden="false" customHeight="false" outlineLevel="0" collapsed="false">
      <c r="A920" s="2"/>
      <c r="B920" s="11"/>
      <c r="C920" s="2"/>
      <c r="D920" s="2"/>
      <c r="E920" s="2"/>
      <c r="F920" s="2"/>
      <c r="G920" s="2"/>
      <c r="H920" s="23"/>
      <c r="I920" s="23"/>
      <c r="J920" s="23" t="str">
        <f aca="false">IF(C920="","",IF(OR(C920="Purchase",C920="Fee",C920="Withdrawal"),-(H920+I920),H920-I920))</f>
        <v/>
      </c>
      <c r="K920" s="2"/>
      <c r="L920" s="2"/>
      <c r="M920" s="2"/>
    </row>
    <row r="921" customFormat="false" ht="15" hidden="false" customHeight="false" outlineLevel="0" collapsed="false">
      <c r="A921" s="2"/>
      <c r="B921" s="11"/>
      <c r="C921" s="2"/>
      <c r="D921" s="2"/>
      <c r="E921" s="2"/>
      <c r="F921" s="2"/>
      <c r="G921" s="2"/>
      <c r="H921" s="23"/>
      <c r="I921" s="23"/>
      <c r="J921" s="23" t="str">
        <f aca="false">IF(C921="","",IF(OR(C921="Purchase",C921="Fee",C921="Withdrawal"),-(H921+I921),H921-I921))</f>
        <v/>
      </c>
      <c r="K921" s="2"/>
      <c r="L921" s="2"/>
      <c r="M921" s="2"/>
    </row>
    <row r="922" customFormat="false" ht="15" hidden="false" customHeight="false" outlineLevel="0" collapsed="false">
      <c r="A922" s="2"/>
      <c r="B922" s="11"/>
      <c r="C922" s="2"/>
      <c r="D922" s="2"/>
      <c r="E922" s="2"/>
      <c r="F922" s="2"/>
      <c r="G922" s="2"/>
      <c r="H922" s="23"/>
      <c r="I922" s="23"/>
      <c r="J922" s="23" t="str">
        <f aca="false">IF(C922="","",IF(OR(C922="Purchase",C922="Fee",C922="Withdrawal"),-(H922+I922),H922-I922))</f>
        <v/>
      </c>
      <c r="K922" s="2"/>
      <c r="L922" s="2"/>
      <c r="M922" s="2"/>
    </row>
    <row r="923" customFormat="false" ht="15" hidden="false" customHeight="false" outlineLevel="0" collapsed="false">
      <c r="A923" s="2"/>
      <c r="B923" s="11"/>
      <c r="C923" s="2"/>
      <c r="D923" s="2"/>
      <c r="E923" s="2"/>
      <c r="F923" s="2"/>
      <c r="G923" s="2"/>
      <c r="H923" s="23"/>
      <c r="I923" s="23"/>
      <c r="J923" s="23" t="str">
        <f aca="false">IF(C923="","",IF(OR(C923="Purchase",C923="Fee",C923="Withdrawal"),-(H923+I923),H923-I923))</f>
        <v/>
      </c>
      <c r="K923" s="2"/>
      <c r="L923" s="2"/>
      <c r="M923" s="2"/>
    </row>
    <row r="924" customFormat="false" ht="15" hidden="false" customHeight="false" outlineLevel="0" collapsed="false">
      <c r="A924" s="2"/>
      <c r="B924" s="11"/>
      <c r="C924" s="2"/>
      <c r="D924" s="2"/>
      <c r="E924" s="2"/>
      <c r="F924" s="2"/>
      <c r="G924" s="2"/>
      <c r="H924" s="23"/>
      <c r="I924" s="23"/>
      <c r="J924" s="23" t="str">
        <f aca="false">IF(C924="","",IF(OR(C924="Purchase",C924="Fee",C924="Withdrawal"),-(H924+I924),H924-I924))</f>
        <v/>
      </c>
      <c r="K924" s="2"/>
      <c r="L924" s="2"/>
      <c r="M924" s="2"/>
    </row>
    <row r="925" customFormat="false" ht="15" hidden="false" customHeight="false" outlineLevel="0" collapsed="false">
      <c r="A925" s="2"/>
      <c r="B925" s="11"/>
      <c r="C925" s="2"/>
      <c r="D925" s="2"/>
      <c r="E925" s="2"/>
      <c r="F925" s="2"/>
      <c r="G925" s="2"/>
      <c r="H925" s="23"/>
      <c r="I925" s="23"/>
      <c r="J925" s="23" t="str">
        <f aca="false">IF(C925="","",IF(OR(C925="Purchase",C925="Fee",C925="Withdrawal"),-(H925+I925),H925-I925))</f>
        <v/>
      </c>
      <c r="K925" s="2"/>
      <c r="L925" s="2"/>
      <c r="M925" s="2"/>
    </row>
    <row r="926" customFormat="false" ht="15" hidden="false" customHeight="false" outlineLevel="0" collapsed="false">
      <c r="A926" s="2"/>
      <c r="B926" s="11"/>
      <c r="C926" s="2"/>
      <c r="D926" s="2"/>
      <c r="E926" s="2"/>
      <c r="F926" s="2"/>
      <c r="G926" s="2"/>
      <c r="H926" s="23"/>
      <c r="I926" s="23"/>
      <c r="J926" s="23" t="str">
        <f aca="false">IF(C926="","",IF(OR(C926="Purchase",C926="Fee",C926="Withdrawal"),-(H926+I926),H926-I926))</f>
        <v/>
      </c>
      <c r="K926" s="2"/>
      <c r="L926" s="2"/>
      <c r="M926" s="2"/>
    </row>
    <row r="927" customFormat="false" ht="15" hidden="false" customHeight="false" outlineLevel="0" collapsed="false">
      <c r="A927" s="2"/>
      <c r="B927" s="11"/>
      <c r="C927" s="2"/>
      <c r="D927" s="2"/>
      <c r="E927" s="2"/>
      <c r="F927" s="2"/>
      <c r="G927" s="2"/>
      <c r="H927" s="23"/>
      <c r="I927" s="23"/>
      <c r="J927" s="23" t="str">
        <f aca="false">IF(C927="","",IF(OR(C927="Purchase",C927="Fee",C927="Withdrawal"),-(H927+I927),H927-I927))</f>
        <v/>
      </c>
      <c r="K927" s="2"/>
      <c r="L927" s="2"/>
      <c r="M927" s="2"/>
    </row>
    <row r="928" customFormat="false" ht="15" hidden="false" customHeight="false" outlineLevel="0" collapsed="false">
      <c r="A928" s="2"/>
      <c r="B928" s="11"/>
      <c r="C928" s="2"/>
      <c r="D928" s="2"/>
      <c r="E928" s="2"/>
      <c r="F928" s="2"/>
      <c r="G928" s="2"/>
      <c r="H928" s="23"/>
      <c r="I928" s="23"/>
      <c r="J928" s="23" t="str">
        <f aca="false">IF(C928="","",IF(OR(C928="Purchase",C928="Fee",C928="Withdrawal"),-(H928+I928),H928-I928))</f>
        <v/>
      </c>
      <c r="K928" s="2"/>
      <c r="L928" s="2"/>
      <c r="M928" s="2"/>
    </row>
    <row r="929" customFormat="false" ht="15" hidden="false" customHeight="false" outlineLevel="0" collapsed="false">
      <c r="A929" s="2"/>
      <c r="B929" s="11"/>
      <c r="C929" s="2"/>
      <c r="D929" s="2"/>
      <c r="E929" s="2"/>
      <c r="F929" s="2"/>
      <c r="G929" s="2"/>
      <c r="H929" s="23"/>
      <c r="I929" s="23"/>
      <c r="J929" s="23" t="str">
        <f aca="false">IF(C929="","",IF(OR(C929="Purchase",C929="Fee",C929="Withdrawal"),-(H929+I929),H929-I929))</f>
        <v/>
      </c>
      <c r="K929" s="2"/>
      <c r="L929" s="2"/>
      <c r="M929" s="2"/>
    </row>
    <row r="930" customFormat="false" ht="15" hidden="false" customHeight="false" outlineLevel="0" collapsed="false">
      <c r="A930" s="2"/>
      <c r="B930" s="11"/>
      <c r="C930" s="2"/>
      <c r="D930" s="2"/>
      <c r="E930" s="2"/>
      <c r="F930" s="2"/>
      <c r="G930" s="2"/>
      <c r="H930" s="23"/>
      <c r="I930" s="23"/>
      <c r="J930" s="23" t="str">
        <f aca="false">IF(C930="","",IF(OR(C930="Purchase",C930="Fee",C930="Withdrawal"),-(H930+I930),H930-I930))</f>
        <v/>
      </c>
      <c r="K930" s="2"/>
      <c r="L930" s="2"/>
      <c r="M930" s="2"/>
    </row>
    <row r="931" customFormat="false" ht="15" hidden="false" customHeight="false" outlineLevel="0" collapsed="false">
      <c r="A931" s="2"/>
      <c r="B931" s="11"/>
      <c r="C931" s="2"/>
      <c r="D931" s="2"/>
      <c r="E931" s="2"/>
      <c r="F931" s="2"/>
      <c r="G931" s="2"/>
      <c r="H931" s="23"/>
      <c r="I931" s="23"/>
      <c r="J931" s="23" t="str">
        <f aca="false">IF(C931="","",IF(OR(C931="Purchase",C931="Fee",C931="Withdrawal"),-(H931+I931),H931-I931))</f>
        <v/>
      </c>
      <c r="K931" s="2"/>
      <c r="L931" s="2"/>
      <c r="M931" s="2"/>
    </row>
    <row r="932" customFormat="false" ht="15" hidden="false" customHeight="false" outlineLevel="0" collapsed="false">
      <c r="A932" s="2"/>
      <c r="B932" s="11"/>
      <c r="C932" s="2"/>
      <c r="D932" s="2"/>
      <c r="E932" s="2"/>
      <c r="F932" s="2"/>
      <c r="G932" s="2"/>
      <c r="H932" s="23"/>
      <c r="I932" s="23"/>
      <c r="J932" s="23" t="str">
        <f aca="false">IF(C932="","",IF(OR(C932="Purchase",C932="Fee",C932="Withdrawal"),-(H932+I932),H932-I932))</f>
        <v/>
      </c>
      <c r="K932" s="2"/>
      <c r="L932" s="2"/>
      <c r="M932" s="2"/>
    </row>
    <row r="933" customFormat="false" ht="15" hidden="false" customHeight="false" outlineLevel="0" collapsed="false">
      <c r="A933" s="2"/>
      <c r="B933" s="11"/>
      <c r="C933" s="2"/>
      <c r="D933" s="2"/>
      <c r="E933" s="2"/>
      <c r="F933" s="2"/>
      <c r="G933" s="2"/>
      <c r="H933" s="23"/>
      <c r="I933" s="23"/>
      <c r="J933" s="23" t="str">
        <f aca="false">IF(C933="","",IF(OR(C933="Purchase",C933="Fee",C933="Withdrawal"),-(H933+I933),H933-I933))</f>
        <v/>
      </c>
      <c r="K933" s="2"/>
      <c r="L933" s="2"/>
      <c r="M933" s="2"/>
    </row>
    <row r="934" customFormat="false" ht="15" hidden="false" customHeight="false" outlineLevel="0" collapsed="false">
      <c r="A934" s="2"/>
      <c r="B934" s="11"/>
      <c r="C934" s="2"/>
      <c r="D934" s="2"/>
      <c r="E934" s="2"/>
      <c r="F934" s="2"/>
      <c r="G934" s="2"/>
      <c r="H934" s="23"/>
      <c r="I934" s="23"/>
      <c r="J934" s="23" t="str">
        <f aca="false">IF(C934="","",IF(OR(C934="Purchase",C934="Fee",C934="Withdrawal"),-(H934+I934),H934-I934))</f>
        <v/>
      </c>
      <c r="K934" s="2"/>
      <c r="L934" s="2"/>
      <c r="M934" s="2"/>
    </row>
    <row r="935" customFormat="false" ht="15" hidden="false" customHeight="false" outlineLevel="0" collapsed="false">
      <c r="A935" s="2"/>
      <c r="B935" s="11"/>
      <c r="C935" s="2"/>
      <c r="D935" s="2"/>
      <c r="E935" s="2"/>
      <c r="F935" s="2"/>
      <c r="G935" s="2"/>
      <c r="H935" s="23"/>
      <c r="I935" s="23"/>
      <c r="J935" s="23" t="str">
        <f aca="false">IF(C935="","",IF(OR(C935="Purchase",C935="Fee",C935="Withdrawal"),-(H935+I935),H935-I935))</f>
        <v/>
      </c>
      <c r="K935" s="2"/>
      <c r="L935" s="2"/>
      <c r="M935" s="2"/>
    </row>
    <row r="936" customFormat="false" ht="15" hidden="false" customHeight="false" outlineLevel="0" collapsed="false">
      <c r="A936" s="2"/>
      <c r="B936" s="11"/>
      <c r="C936" s="2"/>
      <c r="D936" s="2"/>
      <c r="E936" s="2"/>
      <c r="F936" s="2"/>
      <c r="G936" s="2"/>
      <c r="H936" s="23"/>
      <c r="I936" s="23"/>
      <c r="J936" s="23" t="str">
        <f aca="false">IF(C936="","",IF(OR(C936="Purchase",C936="Fee",C936="Withdrawal"),-(H936+I936),H936-I936))</f>
        <v/>
      </c>
      <c r="K936" s="2"/>
      <c r="L936" s="2"/>
      <c r="M936" s="2"/>
    </row>
    <row r="937" customFormat="false" ht="15" hidden="false" customHeight="false" outlineLevel="0" collapsed="false">
      <c r="A937" s="2"/>
      <c r="B937" s="11"/>
      <c r="C937" s="2"/>
      <c r="D937" s="2"/>
      <c r="E937" s="2"/>
      <c r="F937" s="2"/>
      <c r="G937" s="2"/>
      <c r="H937" s="23"/>
      <c r="I937" s="23"/>
      <c r="J937" s="23" t="str">
        <f aca="false">IF(C937="","",IF(OR(C937="Purchase",C937="Fee",C937="Withdrawal"),-(H937+I937),H937-I937))</f>
        <v/>
      </c>
      <c r="K937" s="2"/>
      <c r="L937" s="2"/>
      <c r="M937" s="2"/>
    </row>
    <row r="938" customFormat="false" ht="15" hidden="false" customHeight="false" outlineLevel="0" collapsed="false">
      <c r="A938" s="2"/>
      <c r="B938" s="11"/>
      <c r="C938" s="2"/>
      <c r="D938" s="2"/>
      <c r="E938" s="2"/>
      <c r="F938" s="2"/>
      <c r="G938" s="2"/>
      <c r="H938" s="23"/>
      <c r="I938" s="23"/>
      <c r="J938" s="23" t="str">
        <f aca="false">IF(C938="","",IF(OR(C938="Purchase",C938="Fee",C938="Withdrawal"),-(H938+I938),H938-I938))</f>
        <v/>
      </c>
      <c r="K938" s="2"/>
      <c r="L938" s="2"/>
      <c r="M938" s="2"/>
    </row>
    <row r="939" customFormat="false" ht="15" hidden="false" customHeight="false" outlineLevel="0" collapsed="false">
      <c r="A939" s="2"/>
      <c r="B939" s="11"/>
      <c r="C939" s="2"/>
      <c r="D939" s="2"/>
      <c r="E939" s="2"/>
      <c r="F939" s="2"/>
      <c r="G939" s="2"/>
      <c r="H939" s="23"/>
      <c r="I939" s="23"/>
      <c r="J939" s="23" t="str">
        <f aca="false">IF(C939="","",IF(OR(C939="Purchase",C939="Fee",C939="Withdrawal"),-(H939+I939),H939-I939))</f>
        <v/>
      </c>
      <c r="K939" s="2"/>
      <c r="L939" s="2"/>
      <c r="M939" s="2"/>
    </row>
    <row r="940" customFormat="false" ht="15" hidden="false" customHeight="false" outlineLevel="0" collapsed="false">
      <c r="A940" s="2"/>
      <c r="B940" s="11"/>
      <c r="C940" s="2"/>
      <c r="D940" s="2"/>
      <c r="E940" s="2"/>
      <c r="F940" s="2"/>
      <c r="G940" s="2"/>
      <c r="H940" s="23"/>
      <c r="I940" s="23"/>
      <c r="J940" s="23" t="str">
        <f aca="false">IF(C940="","",IF(OR(C940="Purchase",C940="Fee",C940="Withdrawal"),-(H940+I940),H940-I940))</f>
        <v/>
      </c>
      <c r="K940" s="2"/>
      <c r="L940" s="2"/>
      <c r="M940" s="2"/>
    </row>
    <row r="941" customFormat="false" ht="15" hidden="false" customHeight="false" outlineLevel="0" collapsed="false">
      <c r="A941" s="2"/>
      <c r="B941" s="11"/>
      <c r="C941" s="2"/>
      <c r="D941" s="2"/>
      <c r="E941" s="2"/>
      <c r="F941" s="2"/>
      <c r="G941" s="2"/>
      <c r="H941" s="23"/>
      <c r="I941" s="23"/>
      <c r="J941" s="23" t="str">
        <f aca="false">IF(C941="","",IF(OR(C941="Purchase",C941="Fee",C941="Withdrawal"),-(H941+I941),H941-I941))</f>
        <v/>
      </c>
      <c r="K941" s="2"/>
      <c r="L941" s="2"/>
      <c r="M941" s="2"/>
    </row>
    <row r="942" customFormat="false" ht="15" hidden="false" customHeight="false" outlineLevel="0" collapsed="false">
      <c r="A942" s="2"/>
      <c r="B942" s="11"/>
      <c r="C942" s="2"/>
      <c r="D942" s="2"/>
      <c r="E942" s="2"/>
      <c r="F942" s="2"/>
      <c r="G942" s="2"/>
      <c r="H942" s="23"/>
      <c r="I942" s="23"/>
      <c r="J942" s="23" t="str">
        <f aca="false">IF(C942="","",IF(OR(C942="Purchase",C942="Fee",C942="Withdrawal"),-(H942+I942),H942-I942))</f>
        <v/>
      </c>
      <c r="K942" s="2"/>
      <c r="L942" s="2"/>
      <c r="M942" s="2"/>
    </row>
    <row r="943" customFormat="false" ht="15" hidden="false" customHeight="false" outlineLevel="0" collapsed="false">
      <c r="A943" s="2"/>
      <c r="B943" s="11"/>
      <c r="C943" s="2"/>
      <c r="D943" s="2"/>
      <c r="E943" s="2"/>
      <c r="F943" s="2"/>
      <c r="G943" s="2"/>
      <c r="H943" s="23"/>
      <c r="I943" s="23"/>
      <c r="J943" s="23" t="str">
        <f aca="false">IF(C943="","",IF(OR(C943="Purchase",C943="Fee",C943="Withdrawal"),-(H943+I943),H943-I943))</f>
        <v/>
      </c>
      <c r="K943" s="2"/>
      <c r="L943" s="2"/>
      <c r="M943" s="2"/>
    </row>
    <row r="944" customFormat="false" ht="15" hidden="false" customHeight="false" outlineLevel="0" collapsed="false">
      <c r="A944" s="2"/>
      <c r="B944" s="11"/>
      <c r="C944" s="2"/>
      <c r="D944" s="2"/>
      <c r="E944" s="2"/>
      <c r="F944" s="2"/>
      <c r="G944" s="2"/>
      <c r="H944" s="23"/>
      <c r="I944" s="23"/>
      <c r="J944" s="23" t="str">
        <f aca="false">IF(C944="","",IF(OR(C944="Purchase",C944="Fee",C944="Withdrawal"),-(H944+I944),H944-I944))</f>
        <v/>
      </c>
      <c r="K944" s="2"/>
      <c r="L944" s="2"/>
      <c r="M944" s="2"/>
    </row>
    <row r="945" customFormat="false" ht="15" hidden="false" customHeight="false" outlineLevel="0" collapsed="false">
      <c r="A945" s="2"/>
      <c r="B945" s="11"/>
      <c r="C945" s="2"/>
      <c r="D945" s="2"/>
      <c r="E945" s="2"/>
      <c r="F945" s="2"/>
      <c r="G945" s="2"/>
      <c r="H945" s="23"/>
      <c r="I945" s="23"/>
      <c r="J945" s="23" t="str">
        <f aca="false">IF(C945="","",IF(OR(C945="Purchase",C945="Fee",C945="Withdrawal"),-(H945+I945),H945-I945))</f>
        <v/>
      </c>
      <c r="K945" s="2"/>
      <c r="L945" s="2"/>
      <c r="M945" s="2"/>
    </row>
    <row r="946" customFormat="false" ht="15" hidden="false" customHeight="false" outlineLevel="0" collapsed="false">
      <c r="A946" s="2"/>
      <c r="B946" s="11"/>
      <c r="C946" s="2"/>
      <c r="D946" s="2"/>
      <c r="E946" s="2"/>
      <c r="F946" s="2"/>
      <c r="G946" s="2"/>
      <c r="H946" s="23"/>
      <c r="I946" s="23"/>
      <c r="J946" s="23" t="str">
        <f aca="false">IF(C946="","",IF(OR(C946="Purchase",C946="Fee",C946="Withdrawal"),-(H946+I946),H946-I946))</f>
        <v/>
      </c>
      <c r="K946" s="2"/>
      <c r="L946" s="2"/>
      <c r="M946" s="2"/>
    </row>
    <row r="947" customFormat="false" ht="15" hidden="false" customHeight="false" outlineLevel="0" collapsed="false">
      <c r="A947" s="2"/>
      <c r="B947" s="11"/>
      <c r="C947" s="2"/>
      <c r="D947" s="2"/>
      <c r="E947" s="2"/>
      <c r="F947" s="2"/>
      <c r="G947" s="2"/>
      <c r="H947" s="23"/>
      <c r="I947" s="23"/>
      <c r="J947" s="23" t="str">
        <f aca="false">IF(C947="","",IF(OR(C947="Purchase",C947="Fee",C947="Withdrawal"),-(H947+I947),H947-I947))</f>
        <v/>
      </c>
      <c r="K947" s="2"/>
      <c r="L947" s="2"/>
      <c r="M947" s="2"/>
    </row>
    <row r="948" customFormat="false" ht="15" hidden="false" customHeight="false" outlineLevel="0" collapsed="false">
      <c r="A948" s="2"/>
      <c r="B948" s="11"/>
      <c r="C948" s="2"/>
      <c r="D948" s="2"/>
      <c r="E948" s="2"/>
      <c r="F948" s="2"/>
      <c r="G948" s="2"/>
      <c r="H948" s="23"/>
      <c r="I948" s="23"/>
      <c r="J948" s="23" t="str">
        <f aca="false">IF(C948="","",IF(OR(C948="Purchase",C948="Fee",C948="Withdrawal"),-(H948+I948),H948-I948))</f>
        <v/>
      </c>
      <c r="K948" s="2"/>
      <c r="L948" s="2"/>
      <c r="M948" s="2"/>
    </row>
    <row r="949" customFormat="false" ht="15" hidden="false" customHeight="false" outlineLevel="0" collapsed="false">
      <c r="A949" s="2"/>
      <c r="B949" s="11"/>
      <c r="C949" s="2"/>
      <c r="D949" s="2"/>
      <c r="E949" s="2"/>
      <c r="F949" s="2"/>
      <c r="G949" s="2"/>
      <c r="H949" s="23"/>
      <c r="I949" s="23"/>
      <c r="J949" s="23" t="str">
        <f aca="false">IF(C949="","",IF(OR(C949="Purchase",C949="Fee",C949="Withdrawal"),-(H949+I949),H949-I949))</f>
        <v/>
      </c>
      <c r="K949" s="2"/>
      <c r="L949" s="2"/>
      <c r="M949" s="2"/>
    </row>
    <row r="950" customFormat="false" ht="15" hidden="false" customHeight="false" outlineLevel="0" collapsed="false">
      <c r="A950" s="2"/>
      <c r="B950" s="11"/>
      <c r="C950" s="2"/>
      <c r="D950" s="2"/>
      <c r="E950" s="2"/>
      <c r="F950" s="2"/>
      <c r="G950" s="2"/>
      <c r="H950" s="23"/>
      <c r="I950" s="23"/>
      <c r="J950" s="23" t="str">
        <f aca="false">IF(C950="","",IF(OR(C950="Purchase",C950="Fee",C950="Withdrawal"),-(H950+I950),H950-I950))</f>
        <v/>
      </c>
      <c r="K950" s="2"/>
      <c r="L950" s="2"/>
      <c r="M950" s="2"/>
    </row>
    <row r="951" customFormat="false" ht="15" hidden="false" customHeight="false" outlineLevel="0" collapsed="false">
      <c r="A951" s="2"/>
      <c r="B951" s="11"/>
      <c r="C951" s="2"/>
      <c r="D951" s="2"/>
      <c r="E951" s="2"/>
      <c r="F951" s="2"/>
      <c r="G951" s="2"/>
      <c r="H951" s="23"/>
      <c r="I951" s="23"/>
      <c r="J951" s="23" t="str">
        <f aca="false">IF(C951="","",IF(OR(C951="Purchase",C951="Fee",C951="Withdrawal"),-(H951+I951),H951-I951))</f>
        <v/>
      </c>
      <c r="K951" s="2"/>
      <c r="L951" s="2"/>
      <c r="M951" s="2"/>
    </row>
    <row r="952" customFormat="false" ht="15" hidden="false" customHeight="false" outlineLevel="0" collapsed="false">
      <c r="A952" s="2"/>
      <c r="B952" s="11"/>
      <c r="C952" s="2"/>
      <c r="D952" s="2"/>
      <c r="E952" s="2"/>
      <c r="F952" s="2"/>
      <c r="G952" s="2"/>
      <c r="H952" s="23"/>
      <c r="I952" s="23"/>
      <c r="J952" s="23" t="str">
        <f aca="false">IF(C952="","",IF(OR(C952="Purchase",C952="Fee",C952="Withdrawal"),-(H952+I952),H952-I952))</f>
        <v/>
      </c>
      <c r="K952" s="2"/>
      <c r="L952" s="2"/>
      <c r="M952" s="2"/>
    </row>
    <row r="953" customFormat="false" ht="15" hidden="false" customHeight="false" outlineLevel="0" collapsed="false">
      <c r="A953" s="2"/>
      <c r="B953" s="11"/>
      <c r="C953" s="2"/>
      <c r="D953" s="2"/>
      <c r="E953" s="2"/>
      <c r="F953" s="2"/>
      <c r="G953" s="2"/>
      <c r="H953" s="23"/>
      <c r="I953" s="23"/>
      <c r="J953" s="23" t="str">
        <f aca="false">IF(C953="","",IF(OR(C953="Purchase",C953="Fee",C953="Withdrawal"),-(H953+I953),H953-I953))</f>
        <v/>
      </c>
      <c r="K953" s="2"/>
      <c r="L953" s="2"/>
      <c r="M953" s="2"/>
    </row>
    <row r="954" customFormat="false" ht="15" hidden="false" customHeight="false" outlineLevel="0" collapsed="false">
      <c r="A954" s="2"/>
      <c r="B954" s="11"/>
      <c r="C954" s="2"/>
      <c r="D954" s="2"/>
      <c r="E954" s="2"/>
      <c r="F954" s="2"/>
      <c r="G954" s="2"/>
      <c r="H954" s="23"/>
      <c r="I954" s="23"/>
      <c r="J954" s="23" t="str">
        <f aca="false">IF(C954="","",IF(OR(C954="Purchase",C954="Fee",C954="Withdrawal"),-(H954+I954),H954-I954))</f>
        <v/>
      </c>
      <c r="K954" s="2"/>
      <c r="L954" s="2"/>
      <c r="M954" s="2"/>
    </row>
    <row r="955" customFormat="false" ht="15" hidden="false" customHeight="false" outlineLevel="0" collapsed="false">
      <c r="A955" s="2"/>
      <c r="B955" s="11"/>
      <c r="C955" s="2"/>
      <c r="D955" s="2"/>
      <c r="E955" s="2"/>
      <c r="F955" s="2"/>
      <c r="G955" s="2"/>
      <c r="H955" s="23"/>
      <c r="I955" s="23"/>
      <c r="J955" s="23" t="str">
        <f aca="false">IF(C955="","",IF(OR(C955="Purchase",C955="Fee",C955="Withdrawal"),-(H955+I955),H955-I955))</f>
        <v/>
      </c>
      <c r="K955" s="2"/>
      <c r="L955" s="2"/>
      <c r="M955" s="2"/>
    </row>
    <row r="956" customFormat="false" ht="15" hidden="false" customHeight="false" outlineLevel="0" collapsed="false">
      <c r="A956" s="2"/>
      <c r="B956" s="11"/>
      <c r="C956" s="2"/>
      <c r="D956" s="2"/>
      <c r="E956" s="2"/>
      <c r="F956" s="2"/>
      <c r="G956" s="2"/>
      <c r="H956" s="23"/>
      <c r="I956" s="23"/>
      <c r="J956" s="23" t="str">
        <f aca="false">IF(C956="","",IF(OR(C956="Purchase",C956="Fee",C956="Withdrawal"),-(H956+I956),H956-I956))</f>
        <v/>
      </c>
      <c r="K956" s="2"/>
      <c r="L956" s="2"/>
      <c r="M956" s="2"/>
    </row>
    <row r="957" customFormat="false" ht="15" hidden="false" customHeight="false" outlineLevel="0" collapsed="false">
      <c r="A957" s="2"/>
      <c r="B957" s="11"/>
      <c r="C957" s="2"/>
      <c r="D957" s="2"/>
      <c r="E957" s="2"/>
      <c r="F957" s="2"/>
      <c r="G957" s="2"/>
      <c r="H957" s="23"/>
      <c r="I957" s="23"/>
      <c r="J957" s="23" t="str">
        <f aca="false">IF(C957="","",IF(OR(C957="Purchase",C957="Fee",C957="Withdrawal"),-(H957+I957),H957-I957))</f>
        <v/>
      </c>
      <c r="K957" s="2"/>
      <c r="L957" s="2"/>
      <c r="M957" s="2"/>
    </row>
    <row r="958" customFormat="false" ht="15" hidden="false" customHeight="false" outlineLevel="0" collapsed="false">
      <c r="A958" s="2"/>
      <c r="B958" s="11"/>
      <c r="C958" s="2"/>
      <c r="D958" s="2"/>
      <c r="E958" s="2"/>
      <c r="F958" s="2"/>
      <c r="G958" s="2"/>
      <c r="H958" s="23"/>
      <c r="I958" s="23"/>
      <c r="J958" s="23" t="str">
        <f aca="false">IF(C958="","",IF(OR(C958="Purchase",C958="Fee",C958="Withdrawal"),-(H958+I958),H958-I958))</f>
        <v/>
      </c>
      <c r="K958" s="2"/>
      <c r="L958" s="2"/>
      <c r="M958" s="2"/>
    </row>
    <row r="959" customFormat="false" ht="15" hidden="false" customHeight="false" outlineLevel="0" collapsed="false">
      <c r="A959" s="2"/>
      <c r="B959" s="11"/>
      <c r="C959" s="2"/>
      <c r="D959" s="2"/>
      <c r="E959" s="2"/>
      <c r="F959" s="2"/>
      <c r="G959" s="2"/>
      <c r="H959" s="23"/>
      <c r="I959" s="23"/>
      <c r="J959" s="23" t="str">
        <f aca="false">IF(C959="","",IF(OR(C959="Purchase",C959="Fee",C959="Withdrawal"),-(H959+I959),H959-I959))</f>
        <v/>
      </c>
      <c r="K959" s="2"/>
      <c r="L959" s="2"/>
      <c r="M959" s="2"/>
    </row>
    <row r="960" customFormat="false" ht="15" hidden="false" customHeight="false" outlineLevel="0" collapsed="false">
      <c r="A960" s="2"/>
      <c r="B960" s="11"/>
      <c r="C960" s="2"/>
      <c r="D960" s="2"/>
      <c r="E960" s="2"/>
      <c r="F960" s="2"/>
      <c r="G960" s="2"/>
      <c r="H960" s="23"/>
      <c r="I960" s="23"/>
      <c r="J960" s="23" t="str">
        <f aca="false">IF(C960="","",IF(OR(C960="Purchase",C960="Fee",C960="Withdrawal"),-(H960+I960),H960-I960))</f>
        <v/>
      </c>
      <c r="K960" s="2"/>
      <c r="L960" s="2"/>
      <c r="M960" s="2"/>
    </row>
    <row r="961" customFormat="false" ht="15" hidden="false" customHeight="false" outlineLevel="0" collapsed="false">
      <c r="A961" s="2"/>
      <c r="B961" s="11"/>
      <c r="C961" s="2"/>
      <c r="D961" s="2"/>
      <c r="E961" s="2"/>
      <c r="F961" s="2"/>
      <c r="G961" s="2"/>
      <c r="H961" s="23"/>
      <c r="I961" s="23"/>
      <c r="J961" s="23" t="str">
        <f aca="false">IF(C961="","",IF(OR(C961="Purchase",C961="Fee",C961="Withdrawal"),-(H961+I961),H961-I961))</f>
        <v/>
      </c>
      <c r="K961" s="2"/>
      <c r="L961" s="2"/>
      <c r="M961" s="2"/>
    </row>
    <row r="962" customFormat="false" ht="15" hidden="false" customHeight="false" outlineLevel="0" collapsed="false">
      <c r="A962" s="2"/>
      <c r="B962" s="11"/>
      <c r="C962" s="2"/>
      <c r="D962" s="2"/>
      <c r="E962" s="2"/>
      <c r="F962" s="2"/>
      <c r="G962" s="2"/>
      <c r="H962" s="23"/>
      <c r="I962" s="23"/>
      <c r="J962" s="23" t="str">
        <f aca="false">IF(C962="","",IF(OR(C962="Purchase",C962="Fee",C962="Withdrawal"),-(H962+I962),H962-I962))</f>
        <v/>
      </c>
      <c r="K962" s="2"/>
      <c r="L962" s="2"/>
      <c r="M962" s="2"/>
    </row>
    <row r="963" customFormat="false" ht="15" hidden="false" customHeight="false" outlineLevel="0" collapsed="false">
      <c r="A963" s="2"/>
      <c r="B963" s="11"/>
      <c r="C963" s="2"/>
      <c r="D963" s="2"/>
      <c r="E963" s="2"/>
      <c r="F963" s="2"/>
      <c r="G963" s="2"/>
      <c r="H963" s="23"/>
      <c r="I963" s="23"/>
      <c r="J963" s="23" t="str">
        <f aca="false">IF(C963="","",IF(OR(C963="Purchase",C963="Fee",C963="Withdrawal"),-(H963+I963),H963-I963))</f>
        <v/>
      </c>
      <c r="K963" s="2"/>
      <c r="L963" s="2"/>
      <c r="M963" s="2"/>
    </row>
    <row r="964" customFormat="false" ht="15" hidden="false" customHeight="false" outlineLevel="0" collapsed="false">
      <c r="A964" s="2"/>
      <c r="B964" s="11"/>
      <c r="C964" s="2"/>
      <c r="D964" s="2"/>
      <c r="E964" s="2"/>
      <c r="F964" s="2"/>
      <c r="G964" s="2"/>
      <c r="H964" s="23"/>
      <c r="I964" s="23"/>
      <c r="J964" s="23" t="str">
        <f aca="false">IF(C964="","",IF(OR(C964="Purchase",C964="Fee",C964="Withdrawal"),-(H964+I964),H964-I964))</f>
        <v/>
      </c>
      <c r="K964" s="2"/>
      <c r="L964" s="2"/>
      <c r="M964" s="2"/>
    </row>
    <row r="965" customFormat="false" ht="15" hidden="false" customHeight="false" outlineLevel="0" collapsed="false">
      <c r="A965" s="2"/>
      <c r="B965" s="11"/>
      <c r="C965" s="2"/>
      <c r="D965" s="2"/>
      <c r="E965" s="2"/>
      <c r="F965" s="2"/>
      <c r="G965" s="2"/>
      <c r="H965" s="23"/>
      <c r="I965" s="23"/>
      <c r="J965" s="23" t="str">
        <f aca="false">IF(C965="","",IF(OR(C965="Purchase",C965="Fee",C965="Withdrawal"),-(H965+I965),H965-I965))</f>
        <v/>
      </c>
      <c r="K965" s="2"/>
      <c r="L965" s="2"/>
      <c r="M965" s="2"/>
    </row>
    <row r="966" customFormat="false" ht="15" hidden="false" customHeight="false" outlineLevel="0" collapsed="false">
      <c r="A966" s="2"/>
      <c r="B966" s="11"/>
      <c r="C966" s="2"/>
      <c r="D966" s="2"/>
      <c r="E966" s="2"/>
      <c r="F966" s="2"/>
      <c r="G966" s="2"/>
      <c r="H966" s="23"/>
      <c r="I966" s="23"/>
      <c r="J966" s="23" t="str">
        <f aca="false">IF(C966="","",IF(OR(C966="Purchase",C966="Fee",C966="Withdrawal"),-(H966+I966),H966-I966))</f>
        <v/>
      </c>
      <c r="K966" s="2"/>
      <c r="L966" s="2"/>
      <c r="M966" s="2"/>
    </row>
    <row r="967" customFormat="false" ht="15" hidden="false" customHeight="false" outlineLevel="0" collapsed="false">
      <c r="A967" s="2"/>
      <c r="B967" s="11"/>
      <c r="C967" s="2"/>
      <c r="D967" s="2"/>
      <c r="E967" s="2"/>
      <c r="F967" s="2"/>
      <c r="G967" s="2"/>
      <c r="H967" s="23"/>
      <c r="I967" s="23"/>
      <c r="J967" s="23" t="str">
        <f aca="false">IF(C967="","",IF(OR(C967="Purchase",C967="Fee",C967="Withdrawal"),-(H967+I967),H967-I967))</f>
        <v/>
      </c>
      <c r="K967" s="2"/>
      <c r="L967" s="2"/>
      <c r="M967" s="2"/>
    </row>
    <row r="968" customFormat="false" ht="15" hidden="false" customHeight="false" outlineLevel="0" collapsed="false">
      <c r="A968" s="2"/>
      <c r="B968" s="11"/>
      <c r="C968" s="2"/>
      <c r="D968" s="2"/>
      <c r="E968" s="2"/>
      <c r="F968" s="2"/>
      <c r="G968" s="2"/>
      <c r="H968" s="23"/>
      <c r="I968" s="23"/>
      <c r="J968" s="23" t="str">
        <f aca="false">IF(C968="","",IF(OR(C968="Purchase",C968="Fee",C968="Withdrawal"),-(H968+I968),H968-I968))</f>
        <v/>
      </c>
      <c r="K968" s="2"/>
      <c r="L968" s="2"/>
      <c r="M968" s="2"/>
    </row>
    <row r="969" customFormat="false" ht="15" hidden="false" customHeight="false" outlineLevel="0" collapsed="false">
      <c r="A969" s="2"/>
      <c r="B969" s="11"/>
      <c r="C969" s="2"/>
      <c r="D969" s="2"/>
      <c r="E969" s="2"/>
      <c r="F969" s="2"/>
      <c r="G969" s="2"/>
      <c r="H969" s="23"/>
      <c r="I969" s="23"/>
      <c r="J969" s="23" t="str">
        <f aca="false">IF(C969="","",IF(OR(C969="Purchase",C969="Fee",C969="Withdrawal"),-(H969+I969),H969-I969))</f>
        <v/>
      </c>
      <c r="K969" s="2"/>
      <c r="L969" s="2"/>
      <c r="M969" s="2"/>
    </row>
    <row r="970" customFormat="false" ht="15" hidden="false" customHeight="false" outlineLevel="0" collapsed="false">
      <c r="A970" s="2"/>
      <c r="B970" s="11"/>
      <c r="C970" s="2"/>
      <c r="D970" s="2"/>
      <c r="E970" s="2"/>
      <c r="F970" s="2"/>
      <c r="G970" s="2"/>
      <c r="H970" s="23"/>
      <c r="I970" s="23"/>
      <c r="J970" s="23" t="str">
        <f aca="false">IF(C970="","",IF(OR(C970="Purchase",C970="Fee",C970="Withdrawal"),-(H970+I970),H970-I970))</f>
        <v/>
      </c>
      <c r="K970" s="2"/>
      <c r="L970" s="2"/>
      <c r="M970" s="2"/>
    </row>
    <row r="971" customFormat="false" ht="15" hidden="false" customHeight="false" outlineLevel="0" collapsed="false">
      <c r="A971" s="2"/>
      <c r="B971" s="11"/>
      <c r="C971" s="2"/>
      <c r="D971" s="2"/>
      <c r="E971" s="2"/>
      <c r="F971" s="2"/>
      <c r="G971" s="2"/>
      <c r="H971" s="23"/>
      <c r="I971" s="23"/>
      <c r="J971" s="23" t="str">
        <f aca="false">IF(C971="","",IF(OR(C971="Purchase",C971="Fee",C971="Withdrawal"),-(H971+I971),H971-I971))</f>
        <v/>
      </c>
      <c r="K971" s="2"/>
      <c r="L971" s="2"/>
      <c r="M971" s="2"/>
    </row>
    <row r="972" customFormat="false" ht="15" hidden="false" customHeight="false" outlineLevel="0" collapsed="false">
      <c r="A972" s="2"/>
      <c r="B972" s="11"/>
      <c r="C972" s="2"/>
      <c r="D972" s="2"/>
      <c r="E972" s="2"/>
      <c r="F972" s="2"/>
      <c r="G972" s="2"/>
      <c r="H972" s="23"/>
      <c r="I972" s="23"/>
      <c r="J972" s="23" t="str">
        <f aca="false">IF(C972="","",IF(OR(C972="Purchase",C972="Fee",C972="Withdrawal"),-(H972+I972),H972-I972))</f>
        <v/>
      </c>
      <c r="K972" s="2"/>
      <c r="L972" s="2"/>
      <c r="M972" s="2"/>
    </row>
    <row r="973" customFormat="false" ht="15" hidden="false" customHeight="false" outlineLevel="0" collapsed="false">
      <c r="A973" s="2"/>
      <c r="B973" s="11"/>
      <c r="C973" s="2"/>
      <c r="D973" s="2"/>
      <c r="E973" s="2"/>
      <c r="F973" s="2"/>
      <c r="G973" s="2"/>
      <c r="H973" s="23"/>
      <c r="I973" s="23"/>
      <c r="J973" s="23" t="str">
        <f aca="false">IF(C973="","",IF(OR(C973="Purchase",C973="Fee",C973="Withdrawal"),-(H973+I973),H973-I973))</f>
        <v/>
      </c>
      <c r="K973" s="2"/>
      <c r="L973" s="2"/>
      <c r="M973" s="2"/>
    </row>
    <row r="974" customFormat="false" ht="15" hidden="false" customHeight="false" outlineLevel="0" collapsed="false">
      <c r="A974" s="2"/>
      <c r="B974" s="11"/>
      <c r="C974" s="2"/>
      <c r="D974" s="2"/>
      <c r="E974" s="2"/>
      <c r="F974" s="2"/>
      <c r="G974" s="2"/>
      <c r="H974" s="23"/>
      <c r="I974" s="23"/>
      <c r="J974" s="23" t="str">
        <f aca="false">IF(C974="","",IF(OR(C974="Purchase",C974="Fee",C974="Withdrawal"),-(H974+I974),H974-I974))</f>
        <v/>
      </c>
      <c r="K974" s="2"/>
      <c r="L974" s="2"/>
      <c r="M974" s="2"/>
    </row>
    <row r="975" customFormat="false" ht="15" hidden="false" customHeight="false" outlineLevel="0" collapsed="false">
      <c r="A975" s="2"/>
      <c r="B975" s="11"/>
      <c r="C975" s="2"/>
      <c r="D975" s="2"/>
      <c r="E975" s="2"/>
      <c r="F975" s="2"/>
      <c r="G975" s="2"/>
      <c r="H975" s="23"/>
      <c r="I975" s="23"/>
      <c r="J975" s="23" t="str">
        <f aca="false">IF(C975="","",IF(OR(C975="Purchase",C975="Fee",C975="Withdrawal"),-(H975+I975),H975-I975))</f>
        <v/>
      </c>
      <c r="K975" s="2"/>
      <c r="L975" s="2"/>
      <c r="M975" s="2"/>
    </row>
    <row r="976" customFormat="false" ht="15" hidden="false" customHeight="false" outlineLevel="0" collapsed="false">
      <c r="A976" s="2"/>
      <c r="B976" s="11"/>
      <c r="C976" s="2"/>
      <c r="D976" s="2"/>
      <c r="E976" s="2"/>
      <c r="F976" s="2"/>
      <c r="G976" s="2"/>
      <c r="H976" s="23"/>
      <c r="I976" s="23"/>
      <c r="J976" s="23" t="str">
        <f aca="false">IF(C976="","",IF(OR(C976="Purchase",C976="Fee",C976="Withdrawal"),-(H976+I976),H976-I976))</f>
        <v/>
      </c>
      <c r="K976" s="2"/>
      <c r="L976" s="2"/>
      <c r="M976" s="2"/>
    </row>
    <row r="977" customFormat="false" ht="15" hidden="false" customHeight="false" outlineLevel="0" collapsed="false">
      <c r="A977" s="2"/>
      <c r="B977" s="11"/>
      <c r="C977" s="2"/>
      <c r="D977" s="2"/>
      <c r="E977" s="2"/>
      <c r="F977" s="2"/>
      <c r="G977" s="2"/>
      <c r="H977" s="23"/>
      <c r="I977" s="23"/>
      <c r="J977" s="23" t="str">
        <f aca="false">IF(C977="","",IF(OR(C977="Purchase",C977="Fee",C977="Withdrawal"),-(H977+I977),H977-I977))</f>
        <v/>
      </c>
      <c r="K977" s="2"/>
      <c r="L977" s="2"/>
      <c r="M977" s="2"/>
    </row>
    <row r="978" customFormat="false" ht="15" hidden="false" customHeight="false" outlineLevel="0" collapsed="false">
      <c r="A978" s="2"/>
      <c r="B978" s="11"/>
      <c r="C978" s="2"/>
      <c r="D978" s="2"/>
      <c r="E978" s="2"/>
      <c r="F978" s="2"/>
      <c r="G978" s="2"/>
      <c r="H978" s="23"/>
      <c r="I978" s="23"/>
      <c r="J978" s="23" t="str">
        <f aca="false">IF(C978="","",IF(OR(C978="Purchase",C978="Fee",C978="Withdrawal"),-(H978+I978),H978-I978))</f>
        <v/>
      </c>
      <c r="K978" s="2"/>
      <c r="L978" s="2"/>
      <c r="M978" s="2"/>
    </row>
    <row r="979" customFormat="false" ht="15" hidden="false" customHeight="false" outlineLevel="0" collapsed="false">
      <c r="A979" s="2"/>
      <c r="B979" s="11"/>
      <c r="C979" s="2"/>
      <c r="D979" s="2"/>
      <c r="E979" s="2"/>
      <c r="F979" s="2"/>
      <c r="G979" s="2"/>
      <c r="H979" s="23"/>
      <c r="I979" s="23"/>
      <c r="J979" s="23" t="str">
        <f aca="false">IF(C979="","",IF(OR(C979="Purchase",C979="Fee",C979="Withdrawal"),-(H979+I979),H979-I979))</f>
        <v/>
      </c>
      <c r="K979" s="2"/>
      <c r="L979" s="2"/>
      <c r="M979" s="2"/>
    </row>
    <row r="980" customFormat="false" ht="15" hidden="false" customHeight="false" outlineLevel="0" collapsed="false">
      <c r="A980" s="2"/>
      <c r="B980" s="11"/>
      <c r="C980" s="2"/>
      <c r="D980" s="2"/>
      <c r="E980" s="2"/>
      <c r="F980" s="2"/>
      <c r="G980" s="2"/>
      <c r="H980" s="23"/>
      <c r="I980" s="23"/>
      <c r="J980" s="23" t="str">
        <f aca="false">IF(C980="","",IF(OR(C980="Purchase",C980="Fee",C980="Withdrawal"),-(H980+I980),H980-I980))</f>
        <v/>
      </c>
      <c r="K980" s="2"/>
      <c r="L980" s="2"/>
      <c r="M980" s="2"/>
    </row>
    <row r="981" customFormat="false" ht="15" hidden="false" customHeight="false" outlineLevel="0" collapsed="false">
      <c r="A981" s="2"/>
      <c r="B981" s="11"/>
      <c r="C981" s="2"/>
      <c r="D981" s="2"/>
      <c r="E981" s="2"/>
      <c r="F981" s="2"/>
      <c r="G981" s="2"/>
      <c r="H981" s="23"/>
      <c r="I981" s="23"/>
      <c r="J981" s="23" t="str">
        <f aca="false">IF(C981="","",IF(OR(C981="Purchase",C981="Fee",C981="Withdrawal"),-(H981+I981),H981-I981))</f>
        <v/>
      </c>
      <c r="K981" s="2"/>
      <c r="L981" s="2"/>
      <c r="M981" s="2"/>
    </row>
    <row r="982" customFormat="false" ht="15" hidden="false" customHeight="false" outlineLevel="0" collapsed="false">
      <c r="A982" s="2"/>
      <c r="B982" s="11"/>
      <c r="C982" s="2"/>
      <c r="D982" s="2"/>
      <c r="E982" s="2"/>
      <c r="F982" s="2"/>
      <c r="G982" s="2"/>
      <c r="H982" s="23"/>
      <c r="I982" s="23"/>
      <c r="J982" s="23" t="str">
        <f aca="false">IF(C982="","",IF(OR(C982="Purchase",C982="Fee",C982="Withdrawal"),-(H982+I982),H982-I982))</f>
        <v/>
      </c>
      <c r="K982" s="2"/>
      <c r="L982" s="2"/>
      <c r="M982" s="2"/>
    </row>
    <row r="983" customFormat="false" ht="15" hidden="false" customHeight="false" outlineLevel="0" collapsed="false">
      <c r="A983" s="2"/>
      <c r="B983" s="11"/>
      <c r="C983" s="2"/>
      <c r="D983" s="2"/>
      <c r="E983" s="2"/>
      <c r="F983" s="2"/>
      <c r="G983" s="2"/>
      <c r="H983" s="23"/>
      <c r="I983" s="23"/>
      <c r="J983" s="23" t="str">
        <f aca="false">IF(C983="","",IF(OR(C983="Purchase",C983="Fee",C983="Withdrawal"),-(H983+I983),H983-I983))</f>
        <v/>
      </c>
      <c r="K983" s="2"/>
      <c r="L983" s="2"/>
      <c r="M983" s="2"/>
    </row>
    <row r="984" customFormat="false" ht="15" hidden="false" customHeight="false" outlineLevel="0" collapsed="false">
      <c r="A984" s="2"/>
      <c r="B984" s="11"/>
      <c r="C984" s="2"/>
      <c r="D984" s="2"/>
      <c r="E984" s="2"/>
      <c r="F984" s="2"/>
      <c r="G984" s="2"/>
      <c r="H984" s="23"/>
      <c r="I984" s="23"/>
      <c r="J984" s="23" t="str">
        <f aca="false">IF(C984="","",IF(OR(C984="Purchase",C984="Fee",C984="Withdrawal"),-(H984+I984),H984-I984))</f>
        <v/>
      </c>
      <c r="K984" s="2"/>
      <c r="L984" s="2"/>
      <c r="M984" s="2"/>
    </row>
    <row r="985" customFormat="false" ht="15" hidden="false" customHeight="false" outlineLevel="0" collapsed="false">
      <c r="A985" s="2"/>
      <c r="B985" s="11"/>
      <c r="C985" s="2"/>
      <c r="D985" s="2"/>
      <c r="E985" s="2"/>
      <c r="F985" s="2"/>
      <c r="G985" s="2"/>
      <c r="H985" s="23"/>
      <c r="I985" s="23"/>
      <c r="J985" s="23" t="str">
        <f aca="false">IF(C985="","",IF(OR(C985="Purchase",C985="Fee",C985="Withdrawal"),-(H985+I985),H985-I985))</f>
        <v/>
      </c>
      <c r="K985" s="2"/>
      <c r="L985" s="2"/>
      <c r="M985" s="2"/>
    </row>
    <row r="986" customFormat="false" ht="15" hidden="false" customHeight="false" outlineLevel="0" collapsed="false">
      <c r="A986" s="2"/>
      <c r="B986" s="11"/>
      <c r="C986" s="2"/>
      <c r="D986" s="2"/>
      <c r="E986" s="2"/>
      <c r="F986" s="2"/>
      <c r="G986" s="2"/>
      <c r="H986" s="23"/>
      <c r="I986" s="23"/>
      <c r="J986" s="23" t="str">
        <f aca="false">IF(C986="","",IF(OR(C986="Purchase",C986="Fee",C986="Withdrawal"),-(H986+I986),H986-I986))</f>
        <v/>
      </c>
      <c r="K986" s="2"/>
      <c r="L986" s="2"/>
      <c r="M986" s="2"/>
    </row>
    <row r="987" customFormat="false" ht="15" hidden="false" customHeight="false" outlineLevel="0" collapsed="false">
      <c r="A987" s="2"/>
      <c r="B987" s="11"/>
      <c r="C987" s="2"/>
      <c r="D987" s="2"/>
      <c r="E987" s="2"/>
      <c r="F987" s="2"/>
      <c r="G987" s="2"/>
      <c r="H987" s="23"/>
      <c r="I987" s="23"/>
      <c r="J987" s="23" t="str">
        <f aca="false">IF(C987="","",IF(OR(C987="Purchase",C987="Fee",C987="Withdrawal"),-(H987+I987),H987-I987))</f>
        <v/>
      </c>
      <c r="K987" s="2"/>
      <c r="L987" s="2"/>
      <c r="M987" s="2"/>
    </row>
    <row r="988" customFormat="false" ht="15" hidden="false" customHeight="false" outlineLevel="0" collapsed="false">
      <c r="A988" s="2"/>
      <c r="B988" s="11"/>
      <c r="C988" s="2"/>
      <c r="D988" s="2"/>
      <c r="E988" s="2"/>
      <c r="F988" s="2"/>
      <c r="G988" s="2"/>
      <c r="H988" s="23"/>
      <c r="I988" s="23"/>
      <c r="J988" s="23" t="str">
        <f aca="false">IF(C988="","",IF(OR(C988="Purchase",C988="Fee",C988="Withdrawal"),-(H988+I988),H988-I988))</f>
        <v/>
      </c>
      <c r="K988" s="2"/>
      <c r="L988" s="2"/>
      <c r="M988" s="2"/>
    </row>
    <row r="989" customFormat="false" ht="15" hidden="false" customHeight="false" outlineLevel="0" collapsed="false">
      <c r="A989" s="2"/>
      <c r="B989" s="11"/>
      <c r="C989" s="2"/>
      <c r="D989" s="2"/>
      <c r="E989" s="2"/>
      <c r="F989" s="2"/>
      <c r="G989" s="2"/>
      <c r="H989" s="23"/>
      <c r="I989" s="23"/>
      <c r="J989" s="23" t="str">
        <f aca="false">IF(C989="","",IF(OR(C989="Purchase",C989="Fee",C989="Withdrawal"),-(H989+I989),H989-I989))</f>
        <v/>
      </c>
      <c r="K989" s="2"/>
      <c r="L989" s="2"/>
      <c r="M989" s="2"/>
    </row>
    <row r="990" customFormat="false" ht="15" hidden="false" customHeight="false" outlineLevel="0" collapsed="false">
      <c r="A990" s="2"/>
      <c r="B990" s="11"/>
      <c r="C990" s="2"/>
      <c r="D990" s="2"/>
      <c r="E990" s="2"/>
      <c r="F990" s="2"/>
      <c r="G990" s="2"/>
      <c r="H990" s="23"/>
      <c r="I990" s="23"/>
      <c r="J990" s="23" t="str">
        <f aca="false">IF(C990="","",IF(OR(C990="Purchase",C990="Fee",C990="Withdrawal"),-(H990+I990),H990-I990))</f>
        <v/>
      </c>
      <c r="K990" s="2"/>
      <c r="L990" s="2"/>
      <c r="M990" s="2"/>
    </row>
    <row r="991" customFormat="false" ht="15" hidden="false" customHeight="false" outlineLevel="0" collapsed="false">
      <c r="A991" s="2"/>
      <c r="B991" s="11"/>
      <c r="C991" s="2"/>
      <c r="D991" s="2"/>
      <c r="E991" s="2"/>
      <c r="F991" s="2"/>
      <c r="G991" s="2"/>
      <c r="H991" s="23"/>
      <c r="I991" s="23"/>
      <c r="J991" s="23" t="str">
        <f aca="false">IF(C991="","",IF(OR(C991="Purchase",C991="Fee",C991="Withdrawal"),-(H991+I991),H991-I991))</f>
        <v/>
      </c>
      <c r="K991" s="2"/>
      <c r="L991" s="2"/>
      <c r="M991" s="2"/>
    </row>
    <row r="992" customFormat="false" ht="15" hidden="false" customHeight="false" outlineLevel="0" collapsed="false">
      <c r="A992" s="2"/>
      <c r="B992" s="11"/>
      <c r="C992" s="2"/>
      <c r="D992" s="2"/>
      <c r="E992" s="2"/>
      <c r="F992" s="2"/>
      <c r="G992" s="2"/>
      <c r="H992" s="23"/>
      <c r="I992" s="23"/>
      <c r="J992" s="23" t="str">
        <f aca="false">IF(C992="","",IF(OR(C992="Purchase",C992="Fee",C992="Withdrawal"),-(H992+I992),H992-I992))</f>
        <v/>
      </c>
      <c r="K992" s="2"/>
      <c r="L992" s="2"/>
      <c r="M992" s="2"/>
    </row>
    <row r="993" customFormat="false" ht="15" hidden="false" customHeight="false" outlineLevel="0" collapsed="false">
      <c r="A993" s="2"/>
      <c r="B993" s="11"/>
      <c r="C993" s="2"/>
      <c r="D993" s="2"/>
      <c r="E993" s="2"/>
      <c r="F993" s="2"/>
      <c r="G993" s="2"/>
      <c r="H993" s="23"/>
      <c r="I993" s="23"/>
      <c r="J993" s="23" t="str">
        <f aca="false">IF(C993="","",IF(OR(C993="Purchase",C993="Fee",C993="Withdrawal"),-(H993+I993),H993-I993))</f>
        <v/>
      </c>
      <c r="K993" s="2"/>
      <c r="L993" s="2"/>
      <c r="M993" s="2"/>
    </row>
    <row r="994" customFormat="false" ht="15" hidden="false" customHeight="false" outlineLevel="0" collapsed="false">
      <c r="A994" s="2"/>
      <c r="B994" s="11"/>
      <c r="C994" s="2"/>
      <c r="D994" s="2"/>
      <c r="E994" s="2"/>
      <c r="F994" s="2"/>
      <c r="G994" s="2"/>
      <c r="H994" s="23"/>
      <c r="I994" s="23"/>
      <c r="J994" s="23" t="str">
        <f aca="false">IF(C994="","",IF(OR(C994="Purchase",C994="Fee",C994="Withdrawal"),-(H994+I994),H994-I994))</f>
        <v/>
      </c>
      <c r="K994" s="2"/>
      <c r="L994" s="2"/>
      <c r="M994" s="2"/>
    </row>
    <row r="995" customFormat="false" ht="15" hidden="false" customHeight="false" outlineLevel="0" collapsed="false">
      <c r="A995" s="2"/>
      <c r="B995" s="11"/>
      <c r="C995" s="2"/>
      <c r="D995" s="2"/>
      <c r="E995" s="2"/>
      <c r="F995" s="2"/>
      <c r="G995" s="2"/>
      <c r="H995" s="23"/>
      <c r="I995" s="23"/>
      <c r="J995" s="23" t="str">
        <f aca="false">IF(C995="","",IF(OR(C995="Purchase",C995="Fee",C995="Withdrawal"),-(H995+I995),H995-I995))</f>
        <v/>
      </c>
      <c r="K995" s="2"/>
      <c r="L995" s="2"/>
      <c r="M995" s="2"/>
    </row>
    <row r="996" customFormat="false" ht="15" hidden="false" customHeight="false" outlineLevel="0" collapsed="false">
      <c r="A996" s="2"/>
      <c r="B996" s="11"/>
      <c r="C996" s="2"/>
      <c r="D996" s="2"/>
      <c r="E996" s="2"/>
      <c r="F996" s="2"/>
      <c r="G996" s="2"/>
      <c r="H996" s="23"/>
      <c r="I996" s="23"/>
      <c r="J996" s="23" t="str">
        <f aca="false">IF(C996="","",IF(OR(C996="Purchase",C996="Fee",C996="Withdrawal"),-(H996+I996),H996-I996))</f>
        <v/>
      </c>
      <c r="K996" s="2"/>
      <c r="L996" s="2"/>
      <c r="M996" s="2"/>
    </row>
    <row r="997" customFormat="false" ht="15" hidden="false" customHeight="false" outlineLevel="0" collapsed="false">
      <c r="A997" s="2"/>
      <c r="B997" s="11"/>
      <c r="C997" s="2"/>
      <c r="D997" s="2"/>
      <c r="E997" s="2"/>
      <c r="F997" s="2"/>
      <c r="G997" s="2"/>
      <c r="H997" s="23"/>
      <c r="I997" s="23"/>
      <c r="J997" s="23" t="str">
        <f aca="false">IF(C997="","",IF(OR(C997="Purchase",C997="Fee",C997="Withdrawal"),-(H997+I997),H997-I997))</f>
        <v/>
      </c>
      <c r="K997" s="2"/>
      <c r="L997" s="2"/>
      <c r="M997" s="2"/>
    </row>
    <row r="998" customFormat="false" ht="15" hidden="false" customHeight="false" outlineLevel="0" collapsed="false">
      <c r="A998" s="2"/>
      <c r="B998" s="11"/>
      <c r="C998" s="2"/>
      <c r="D998" s="2"/>
      <c r="E998" s="2"/>
      <c r="F998" s="2"/>
      <c r="G998" s="2"/>
      <c r="H998" s="23"/>
      <c r="I998" s="23"/>
      <c r="J998" s="23" t="str">
        <f aca="false">IF(C998="","",IF(OR(C998="Purchase",C998="Fee",C998="Withdrawal"),-(H998+I998),H998-I998))</f>
        <v/>
      </c>
      <c r="K998" s="2"/>
      <c r="L998" s="2"/>
      <c r="M998" s="2"/>
    </row>
    <row r="999" customFormat="false" ht="15" hidden="false" customHeight="false" outlineLevel="0" collapsed="false">
      <c r="A999" s="2"/>
      <c r="B999" s="11"/>
      <c r="C999" s="2"/>
      <c r="D999" s="2"/>
      <c r="E999" s="2"/>
      <c r="F999" s="2"/>
      <c r="G999" s="2"/>
      <c r="H999" s="23"/>
      <c r="I999" s="23"/>
      <c r="J999" s="23" t="str">
        <f aca="false">IF(C999="","",IF(OR(C999="Purchase",C999="Fee",C999="Withdrawal"),-(H999+I999),H999-I999))</f>
        <v/>
      </c>
      <c r="K999" s="2"/>
      <c r="L999" s="2"/>
      <c r="M999" s="2"/>
    </row>
    <row r="1000" customFormat="false" ht="15" hidden="false" customHeight="false" outlineLevel="0" collapsed="false">
      <c r="A1000" s="2"/>
      <c r="B1000" s="11"/>
      <c r="C1000" s="2"/>
      <c r="D1000" s="2"/>
      <c r="E1000" s="2"/>
      <c r="F1000" s="2"/>
      <c r="G1000" s="2"/>
      <c r="H1000" s="23"/>
      <c r="I1000" s="23"/>
      <c r="J1000" s="23" t="str">
        <f aca="false">IF(C1000="","",IF(OR(C1000="Purchase",C1000="Fee",C1000="Withdrawal"),-(H1000+I1000),H1000-I1000))</f>
        <v/>
      </c>
      <c r="K1000" s="2"/>
      <c r="L1000" s="2"/>
      <c r="M1000" s="2"/>
    </row>
    <row r="1001" customFormat="false" ht="15" hidden="false" customHeight="false" outlineLevel="0" collapsed="false">
      <c r="A1001" s="2"/>
      <c r="B1001" s="11"/>
      <c r="C1001" s="2"/>
      <c r="D1001" s="2"/>
      <c r="E1001" s="2"/>
      <c r="F1001" s="2"/>
      <c r="G1001" s="2"/>
      <c r="H1001" s="23"/>
      <c r="I1001" s="23"/>
      <c r="J1001" s="23" t="str">
        <f aca="false">IF(C1001="","",IF(OR(C1001="Purchase",C1001="Fee",C1001="Withdrawal"),-(H1001+I1001),H1001-I1001))</f>
        <v/>
      </c>
      <c r="K1001" s="2"/>
      <c r="L1001" s="2"/>
      <c r="M1001" s="2"/>
    </row>
  </sheetData>
  <dataValidations count="2">
    <dataValidation allowBlank="true" error="Pick a value from the dropdown list." errorStyle="stop" errorTitle="Invalid value" operator="between" showDropDown="false" showErrorMessage="true" showInputMessage="false" sqref="C2:C1001" type="list">
      <formula1>Lists!$K$2:$K$9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K2:K1001" type="list">
      <formula1>Lists!$D$2:$D$6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9" min="8" style="0" width="20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6" t="s">
        <v>265</v>
      </c>
      <c r="B1" s="6" t="s">
        <v>282</v>
      </c>
      <c r="C1" s="6" t="s">
        <v>266</v>
      </c>
      <c r="D1" s="6" t="s">
        <v>267</v>
      </c>
      <c r="E1" s="6" t="s">
        <v>283</v>
      </c>
      <c r="F1" s="6" t="s">
        <v>284</v>
      </c>
      <c r="G1" s="6" t="s">
        <v>285</v>
      </c>
      <c r="H1" s="6" t="s">
        <v>286</v>
      </c>
      <c r="I1" s="6" t="s">
        <v>287</v>
      </c>
      <c r="J1" s="6" t="s">
        <v>288</v>
      </c>
      <c r="K1" s="6" t="s">
        <v>289</v>
      </c>
      <c r="L1" s="6" t="s">
        <v>290</v>
      </c>
      <c r="M1" s="6" t="s">
        <v>291</v>
      </c>
      <c r="N1" s="6" t="s">
        <v>292</v>
      </c>
      <c r="O1" s="6" t="s">
        <v>48</v>
      </c>
      <c r="P1" s="6" t="s">
        <v>148</v>
      </c>
    </row>
    <row r="2" customFormat="false" ht="15" hidden="false" customHeight="false" outlineLevel="0" collapsed="false">
      <c r="A2" s="17" t="s">
        <v>278</v>
      </c>
      <c r="B2" s="17" t="s">
        <v>293</v>
      </c>
      <c r="C2" s="17"/>
      <c r="D2" s="17" t="n">
        <v>1500</v>
      </c>
      <c r="E2" s="24" t="n">
        <v>1</v>
      </c>
      <c r="F2" s="23" t="n">
        <f aca="false">IF(A2="","",D2*E2)</f>
        <v>1500</v>
      </c>
      <c r="G2" s="24" t="n">
        <v>1.02</v>
      </c>
      <c r="H2" s="23" t="n">
        <f aca="false">IF(A2="","",D2*G2)</f>
        <v>1530</v>
      </c>
      <c r="I2" s="23" t="n">
        <f aca="false">IF(A2="","",H2-F2)</f>
        <v>30</v>
      </c>
      <c r="J2" s="16" t="n">
        <f aca="false">IF(OR(A2="",F2=0),"",I2/F2)</f>
        <v>0.02</v>
      </c>
      <c r="K2" s="18" t="n">
        <v>46305</v>
      </c>
      <c r="L2" s="20" t="n">
        <v>0</v>
      </c>
      <c r="M2" s="17" t="s">
        <v>294</v>
      </c>
      <c r="N2" s="17" t="s">
        <v>295</v>
      </c>
      <c r="O2" s="2" t="s">
        <v>49</v>
      </c>
      <c r="P2" s="17" t="s">
        <v>296</v>
      </c>
    </row>
    <row r="3" customFormat="false" ht="15" hidden="false" customHeight="false" outlineLevel="0" collapsed="false">
      <c r="A3" s="17" t="s">
        <v>280</v>
      </c>
      <c r="B3" s="17" t="s">
        <v>297</v>
      </c>
      <c r="C3" s="17" t="s">
        <v>281</v>
      </c>
      <c r="D3" s="17" t="n">
        <v>100</v>
      </c>
      <c r="E3" s="24" t="n">
        <v>14.5725</v>
      </c>
      <c r="F3" s="23" t="n">
        <f aca="false">IF(A3="","",D3*E3)</f>
        <v>1457.25</v>
      </c>
      <c r="G3" s="24" t="n">
        <v>15.1</v>
      </c>
      <c r="H3" s="23" t="n">
        <f aca="false">IF(A3="","",D3*G3)</f>
        <v>1510</v>
      </c>
      <c r="I3" s="23" t="n">
        <f aca="false">IF(A3="","",H3-F3)</f>
        <v>52.75</v>
      </c>
      <c r="J3" s="16" t="n">
        <f aca="false">IF(OR(A3="",F3=0),"",I3/F3)</f>
        <v>0.0361983187510722</v>
      </c>
      <c r="K3" s="18" t="n">
        <v>46305</v>
      </c>
      <c r="L3" s="20" t="n">
        <v>7.25</v>
      </c>
      <c r="M3" s="17" t="s">
        <v>294</v>
      </c>
      <c r="N3" s="17" t="s">
        <v>295</v>
      </c>
      <c r="O3" s="2" t="s">
        <v>49</v>
      </c>
      <c r="P3" s="17" t="s">
        <v>296</v>
      </c>
    </row>
    <row r="4" customFormat="false" ht="15" hidden="false" customHeight="false" outlineLevel="0" collapsed="false">
      <c r="A4" s="2"/>
      <c r="B4" s="2"/>
      <c r="C4" s="2"/>
      <c r="D4" s="2"/>
      <c r="E4" s="25"/>
      <c r="F4" s="23" t="str">
        <f aca="false">IF(A4="","",D4*E4)</f>
        <v/>
      </c>
      <c r="G4" s="25"/>
      <c r="H4" s="23" t="str">
        <f aca="false">IF(A4="","",D4*G4)</f>
        <v/>
      </c>
      <c r="I4" s="23" t="str">
        <f aca="false">IF(A4="","",H4-F4)</f>
        <v/>
      </c>
      <c r="J4" s="16" t="str">
        <f aca="false">IF(OR(A4="",F4=0),"",I4/F4)</f>
        <v/>
      </c>
      <c r="K4" s="11"/>
      <c r="L4" s="23"/>
      <c r="M4" s="2"/>
      <c r="N4" s="2"/>
      <c r="O4" s="2"/>
      <c r="P4" s="2"/>
    </row>
    <row r="5" customFormat="false" ht="15" hidden="false" customHeight="false" outlineLevel="0" collapsed="false">
      <c r="A5" s="2"/>
      <c r="B5" s="2"/>
      <c r="C5" s="2"/>
      <c r="D5" s="2"/>
      <c r="E5" s="25"/>
      <c r="F5" s="23" t="str">
        <f aca="false">IF(A5="","",D5*E5)</f>
        <v/>
      </c>
      <c r="G5" s="25"/>
      <c r="H5" s="23" t="str">
        <f aca="false">IF(A5="","",D5*G5)</f>
        <v/>
      </c>
      <c r="I5" s="23" t="str">
        <f aca="false">IF(A5="","",H5-F5)</f>
        <v/>
      </c>
      <c r="J5" s="16" t="str">
        <f aca="false">IF(OR(A5="",F5=0),"",I5/F5)</f>
        <v/>
      </c>
      <c r="K5" s="11"/>
      <c r="L5" s="23"/>
      <c r="M5" s="2"/>
      <c r="N5" s="2"/>
      <c r="O5" s="2"/>
      <c r="P5" s="2"/>
    </row>
    <row r="6" customFormat="false" ht="15" hidden="false" customHeight="false" outlineLevel="0" collapsed="false">
      <c r="A6" s="2"/>
      <c r="B6" s="2"/>
      <c r="C6" s="2"/>
      <c r="D6" s="2"/>
      <c r="E6" s="25"/>
      <c r="F6" s="23" t="str">
        <f aca="false">IF(A6="","",D6*E6)</f>
        <v/>
      </c>
      <c r="G6" s="25"/>
      <c r="H6" s="23" t="str">
        <f aca="false">IF(A6="","",D6*G6)</f>
        <v/>
      </c>
      <c r="I6" s="23" t="str">
        <f aca="false">IF(A6="","",H6-F6)</f>
        <v/>
      </c>
      <c r="J6" s="16" t="str">
        <f aca="false">IF(OR(A6="",F6=0),"",I6/F6)</f>
        <v/>
      </c>
      <c r="K6" s="11"/>
      <c r="L6" s="23"/>
      <c r="M6" s="2"/>
      <c r="N6" s="2"/>
      <c r="O6" s="2"/>
      <c r="P6" s="2"/>
    </row>
    <row r="7" customFormat="false" ht="15" hidden="false" customHeight="false" outlineLevel="0" collapsed="false">
      <c r="A7" s="2"/>
      <c r="B7" s="2"/>
      <c r="C7" s="2"/>
      <c r="D7" s="2"/>
      <c r="E7" s="25"/>
      <c r="F7" s="23" t="str">
        <f aca="false">IF(A7="","",D7*E7)</f>
        <v/>
      </c>
      <c r="G7" s="25"/>
      <c r="H7" s="23" t="str">
        <f aca="false">IF(A7="","",D7*G7)</f>
        <v/>
      </c>
      <c r="I7" s="23" t="str">
        <f aca="false">IF(A7="","",H7-F7)</f>
        <v/>
      </c>
      <c r="J7" s="16" t="str">
        <f aca="false">IF(OR(A7="",F7=0),"",I7/F7)</f>
        <v/>
      </c>
      <c r="K7" s="11"/>
      <c r="L7" s="23"/>
      <c r="M7" s="2"/>
      <c r="N7" s="2"/>
      <c r="O7" s="2"/>
      <c r="P7" s="2"/>
    </row>
    <row r="8" customFormat="false" ht="15" hidden="false" customHeight="false" outlineLevel="0" collapsed="false">
      <c r="A8" s="2"/>
      <c r="B8" s="2"/>
      <c r="C8" s="2"/>
      <c r="D8" s="2"/>
      <c r="E8" s="25"/>
      <c r="F8" s="23" t="str">
        <f aca="false">IF(A8="","",D8*E8)</f>
        <v/>
      </c>
      <c r="G8" s="25"/>
      <c r="H8" s="23" t="str">
        <f aca="false">IF(A8="","",D8*G8)</f>
        <v/>
      </c>
      <c r="I8" s="23" t="str">
        <f aca="false">IF(A8="","",H8-F8)</f>
        <v/>
      </c>
      <c r="J8" s="16" t="str">
        <f aca="false">IF(OR(A8="",F8=0),"",I8/F8)</f>
        <v/>
      </c>
      <c r="K8" s="11"/>
      <c r="L8" s="23"/>
      <c r="M8" s="2"/>
      <c r="N8" s="2"/>
      <c r="O8" s="2"/>
      <c r="P8" s="2"/>
    </row>
    <row r="9" customFormat="false" ht="15" hidden="false" customHeight="false" outlineLevel="0" collapsed="false">
      <c r="A9" s="2"/>
      <c r="B9" s="2"/>
      <c r="C9" s="2"/>
      <c r="D9" s="2"/>
      <c r="E9" s="25"/>
      <c r="F9" s="23" t="str">
        <f aca="false">IF(A9="","",D9*E9)</f>
        <v/>
      </c>
      <c r="G9" s="25"/>
      <c r="H9" s="23" t="str">
        <f aca="false">IF(A9="","",D9*G9)</f>
        <v/>
      </c>
      <c r="I9" s="23" t="str">
        <f aca="false">IF(A9="","",H9-F9)</f>
        <v/>
      </c>
      <c r="J9" s="16" t="str">
        <f aca="false">IF(OR(A9="",F9=0),"",I9/F9)</f>
        <v/>
      </c>
      <c r="K9" s="11"/>
      <c r="L9" s="23"/>
      <c r="M9" s="2"/>
      <c r="N9" s="2"/>
      <c r="O9" s="2"/>
      <c r="P9" s="2"/>
    </row>
    <row r="10" customFormat="false" ht="15" hidden="false" customHeight="false" outlineLevel="0" collapsed="false">
      <c r="A10" s="2"/>
      <c r="B10" s="2"/>
      <c r="C10" s="2"/>
      <c r="D10" s="2"/>
      <c r="E10" s="25"/>
      <c r="F10" s="23" t="str">
        <f aca="false">IF(A10="","",D10*E10)</f>
        <v/>
      </c>
      <c r="G10" s="25"/>
      <c r="H10" s="23" t="str">
        <f aca="false">IF(A10="","",D10*G10)</f>
        <v/>
      </c>
      <c r="I10" s="23" t="str">
        <f aca="false">IF(A10="","",H10-F10)</f>
        <v/>
      </c>
      <c r="J10" s="16" t="str">
        <f aca="false">IF(OR(A10="",F10=0),"",I10/F10)</f>
        <v/>
      </c>
      <c r="K10" s="11"/>
      <c r="L10" s="23"/>
      <c r="M10" s="2"/>
      <c r="N10" s="2"/>
      <c r="O10" s="2"/>
      <c r="P10" s="2"/>
    </row>
    <row r="11" customFormat="false" ht="15" hidden="false" customHeight="false" outlineLevel="0" collapsed="false">
      <c r="A11" s="2"/>
      <c r="B11" s="2"/>
      <c r="C11" s="2"/>
      <c r="D11" s="2"/>
      <c r="E11" s="25"/>
      <c r="F11" s="23" t="str">
        <f aca="false">IF(A11="","",D11*E11)</f>
        <v/>
      </c>
      <c r="G11" s="25"/>
      <c r="H11" s="23" t="str">
        <f aca="false">IF(A11="","",D11*G11)</f>
        <v/>
      </c>
      <c r="I11" s="23" t="str">
        <f aca="false">IF(A11="","",H11-F11)</f>
        <v/>
      </c>
      <c r="J11" s="16" t="str">
        <f aca="false">IF(OR(A11="",F11=0),"",I11/F11)</f>
        <v/>
      </c>
      <c r="K11" s="11"/>
      <c r="L11" s="23"/>
      <c r="M11" s="2"/>
      <c r="N11" s="2"/>
      <c r="O11" s="2"/>
      <c r="P11" s="2"/>
    </row>
    <row r="12" customFormat="false" ht="15" hidden="false" customHeight="false" outlineLevel="0" collapsed="false">
      <c r="A12" s="2"/>
      <c r="B12" s="2"/>
      <c r="C12" s="2"/>
      <c r="D12" s="2"/>
      <c r="E12" s="25"/>
      <c r="F12" s="23" t="str">
        <f aca="false">IF(A12="","",D12*E12)</f>
        <v/>
      </c>
      <c r="G12" s="25"/>
      <c r="H12" s="23" t="str">
        <f aca="false">IF(A12="","",D12*G12)</f>
        <v/>
      </c>
      <c r="I12" s="23" t="str">
        <f aca="false">IF(A12="","",H12-F12)</f>
        <v/>
      </c>
      <c r="J12" s="16" t="str">
        <f aca="false">IF(OR(A12="",F12=0),"",I12/F12)</f>
        <v/>
      </c>
      <c r="K12" s="11"/>
      <c r="L12" s="23"/>
      <c r="M12" s="2"/>
      <c r="N12" s="2"/>
      <c r="O12" s="2"/>
      <c r="P12" s="2"/>
    </row>
    <row r="13" customFormat="false" ht="15" hidden="false" customHeight="false" outlineLevel="0" collapsed="false">
      <c r="A13" s="2"/>
      <c r="B13" s="2"/>
      <c r="C13" s="2"/>
      <c r="D13" s="2"/>
      <c r="E13" s="25"/>
      <c r="F13" s="23" t="str">
        <f aca="false">IF(A13="","",D13*E13)</f>
        <v/>
      </c>
      <c r="G13" s="25"/>
      <c r="H13" s="23" t="str">
        <f aca="false">IF(A13="","",D13*G13)</f>
        <v/>
      </c>
      <c r="I13" s="23" t="str">
        <f aca="false">IF(A13="","",H13-F13)</f>
        <v/>
      </c>
      <c r="J13" s="16" t="str">
        <f aca="false">IF(OR(A13="",F13=0),"",I13/F13)</f>
        <v/>
      </c>
      <c r="K13" s="11"/>
      <c r="L13" s="23"/>
      <c r="M13" s="2"/>
      <c r="N13" s="2"/>
      <c r="O13" s="2"/>
      <c r="P13" s="2"/>
    </row>
    <row r="14" customFormat="false" ht="15" hidden="false" customHeight="false" outlineLevel="0" collapsed="false">
      <c r="A14" s="2"/>
      <c r="B14" s="2"/>
      <c r="C14" s="2"/>
      <c r="D14" s="2"/>
      <c r="E14" s="25"/>
      <c r="F14" s="23" t="str">
        <f aca="false">IF(A14="","",D14*E14)</f>
        <v/>
      </c>
      <c r="G14" s="25"/>
      <c r="H14" s="23" t="str">
        <f aca="false">IF(A14="","",D14*G14)</f>
        <v/>
      </c>
      <c r="I14" s="23" t="str">
        <f aca="false">IF(A14="","",H14-F14)</f>
        <v/>
      </c>
      <c r="J14" s="16" t="str">
        <f aca="false">IF(OR(A14="",F14=0),"",I14/F14)</f>
        <v/>
      </c>
      <c r="K14" s="11"/>
      <c r="L14" s="23"/>
      <c r="M14" s="2"/>
      <c r="N14" s="2"/>
      <c r="O14" s="2"/>
      <c r="P14" s="2"/>
    </row>
    <row r="15" customFormat="false" ht="15" hidden="false" customHeight="false" outlineLevel="0" collapsed="false">
      <c r="A15" s="2"/>
      <c r="B15" s="2"/>
      <c r="C15" s="2"/>
      <c r="D15" s="2"/>
      <c r="E15" s="25"/>
      <c r="F15" s="23" t="str">
        <f aca="false">IF(A15="","",D15*E15)</f>
        <v/>
      </c>
      <c r="G15" s="25"/>
      <c r="H15" s="23" t="str">
        <f aca="false">IF(A15="","",D15*G15)</f>
        <v/>
      </c>
      <c r="I15" s="23" t="str">
        <f aca="false">IF(A15="","",H15-F15)</f>
        <v/>
      </c>
      <c r="J15" s="16" t="str">
        <f aca="false">IF(OR(A15="",F15=0),"",I15/F15)</f>
        <v/>
      </c>
      <c r="K15" s="11"/>
      <c r="L15" s="23"/>
      <c r="M15" s="2"/>
      <c r="N15" s="2"/>
      <c r="O15" s="2"/>
      <c r="P15" s="2"/>
    </row>
    <row r="16" customFormat="false" ht="15" hidden="false" customHeight="false" outlineLevel="0" collapsed="false">
      <c r="A16" s="2"/>
      <c r="B16" s="2"/>
      <c r="C16" s="2"/>
      <c r="D16" s="2"/>
      <c r="E16" s="25"/>
      <c r="F16" s="23" t="str">
        <f aca="false">IF(A16="","",D16*E16)</f>
        <v/>
      </c>
      <c r="G16" s="25"/>
      <c r="H16" s="23" t="str">
        <f aca="false">IF(A16="","",D16*G16)</f>
        <v/>
      </c>
      <c r="I16" s="23" t="str">
        <f aca="false">IF(A16="","",H16-F16)</f>
        <v/>
      </c>
      <c r="J16" s="16" t="str">
        <f aca="false">IF(OR(A16="",F16=0),"",I16/F16)</f>
        <v/>
      </c>
      <c r="K16" s="11"/>
      <c r="L16" s="23"/>
      <c r="M16" s="2"/>
      <c r="N16" s="2"/>
      <c r="O16" s="2"/>
      <c r="P16" s="2"/>
    </row>
    <row r="17" customFormat="false" ht="15" hidden="false" customHeight="false" outlineLevel="0" collapsed="false">
      <c r="A17" s="2"/>
      <c r="B17" s="2"/>
      <c r="C17" s="2"/>
      <c r="D17" s="2"/>
      <c r="E17" s="25"/>
      <c r="F17" s="23" t="str">
        <f aca="false">IF(A17="","",D17*E17)</f>
        <v/>
      </c>
      <c r="G17" s="25"/>
      <c r="H17" s="23" t="str">
        <f aca="false">IF(A17="","",D17*G17)</f>
        <v/>
      </c>
      <c r="I17" s="23" t="str">
        <f aca="false">IF(A17="","",H17-F17)</f>
        <v/>
      </c>
      <c r="J17" s="16" t="str">
        <f aca="false">IF(OR(A17="",F17=0),"",I17/F17)</f>
        <v/>
      </c>
      <c r="K17" s="11"/>
      <c r="L17" s="23"/>
      <c r="M17" s="2"/>
      <c r="N17" s="2"/>
      <c r="O17" s="2"/>
      <c r="P17" s="2"/>
    </row>
    <row r="18" customFormat="false" ht="15" hidden="false" customHeight="false" outlineLevel="0" collapsed="false">
      <c r="A18" s="2"/>
      <c r="B18" s="2"/>
      <c r="C18" s="2"/>
      <c r="D18" s="2"/>
      <c r="E18" s="25"/>
      <c r="F18" s="23" t="str">
        <f aca="false">IF(A18="","",D18*E18)</f>
        <v/>
      </c>
      <c r="G18" s="25"/>
      <c r="H18" s="23" t="str">
        <f aca="false">IF(A18="","",D18*G18)</f>
        <v/>
      </c>
      <c r="I18" s="23" t="str">
        <f aca="false">IF(A18="","",H18-F18)</f>
        <v/>
      </c>
      <c r="J18" s="16" t="str">
        <f aca="false">IF(OR(A18="",F18=0),"",I18/F18)</f>
        <v/>
      </c>
      <c r="K18" s="11"/>
      <c r="L18" s="23"/>
      <c r="M18" s="2"/>
      <c r="N18" s="2"/>
      <c r="O18" s="2"/>
      <c r="P18" s="2"/>
    </row>
    <row r="19" customFormat="false" ht="15" hidden="false" customHeight="false" outlineLevel="0" collapsed="false">
      <c r="A19" s="2"/>
      <c r="B19" s="2"/>
      <c r="C19" s="2"/>
      <c r="D19" s="2"/>
      <c r="E19" s="25"/>
      <c r="F19" s="23" t="str">
        <f aca="false">IF(A19="","",D19*E19)</f>
        <v/>
      </c>
      <c r="G19" s="25"/>
      <c r="H19" s="23" t="str">
        <f aca="false">IF(A19="","",D19*G19)</f>
        <v/>
      </c>
      <c r="I19" s="23" t="str">
        <f aca="false">IF(A19="","",H19-F19)</f>
        <v/>
      </c>
      <c r="J19" s="16" t="str">
        <f aca="false">IF(OR(A19="",F19=0),"",I19/F19)</f>
        <v/>
      </c>
      <c r="K19" s="11"/>
      <c r="L19" s="23"/>
      <c r="M19" s="2"/>
      <c r="N19" s="2"/>
      <c r="O19" s="2"/>
      <c r="P19" s="2"/>
    </row>
    <row r="20" customFormat="false" ht="15" hidden="false" customHeight="false" outlineLevel="0" collapsed="false">
      <c r="A20" s="2"/>
      <c r="B20" s="2"/>
      <c r="C20" s="2"/>
      <c r="D20" s="2"/>
      <c r="E20" s="25"/>
      <c r="F20" s="23" t="str">
        <f aca="false">IF(A20="","",D20*E20)</f>
        <v/>
      </c>
      <c r="G20" s="25"/>
      <c r="H20" s="23" t="str">
        <f aca="false">IF(A20="","",D20*G20)</f>
        <v/>
      </c>
      <c r="I20" s="23" t="str">
        <f aca="false">IF(A20="","",H20-F20)</f>
        <v/>
      </c>
      <c r="J20" s="16" t="str">
        <f aca="false">IF(OR(A20="",F20=0),"",I20/F20)</f>
        <v/>
      </c>
      <c r="K20" s="11"/>
      <c r="L20" s="23"/>
      <c r="M20" s="2"/>
      <c r="N20" s="2"/>
      <c r="O20" s="2"/>
      <c r="P20" s="2"/>
    </row>
    <row r="21" customFormat="false" ht="15" hidden="false" customHeight="false" outlineLevel="0" collapsed="false">
      <c r="A21" s="2"/>
      <c r="B21" s="2"/>
      <c r="C21" s="2"/>
      <c r="D21" s="2"/>
      <c r="E21" s="25"/>
      <c r="F21" s="23" t="str">
        <f aca="false">IF(A21="","",D21*E21)</f>
        <v/>
      </c>
      <c r="G21" s="25"/>
      <c r="H21" s="23" t="str">
        <f aca="false">IF(A21="","",D21*G21)</f>
        <v/>
      </c>
      <c r="I21" s="23" t="str">
        <f aca="false">IF(A21="","",H21-F21)</f>
        <v/>
      </c>
      <c r="J21" s="16" t="str">
        <f aca="false">IF(OR(A21="",F21=0),"",I21/F21)</f>
        <v/>
      </c>
      <c r="K21" s="11"/>
      <c r="L21" s="23"/>
      <c r="M21" s="2"/>
      <c r="N21" s="2"/>
      <c r="O21" s="2"/>
      <c r="P21" s="2"/>
    </row>
    <row r="22" customFormat="false" ht="15" hidden="false" customHeight="false" outlineLevel="0" collapsed="false">
      <c r="A22" s="2"/>
      <c r="B22" s="2"/>
      <c r="C22" s="2"/>
      <c r="D22" s="2"/>
      <c r="E22" s="25"/>
      <c r="F22" s="23" t="str">
        <f aca="false">IF(A22="","",D22*E22)</f>
        <v/>
      </c>
      <c r="G22" s="25"/>
      <c r="H22" s="23" t="str">
        <f aca="false">IF(A22="","",D22*G22)</f>
        <v/>
      </c>
      <c r="I22" s="23" t="str">
        <f aca="false">IF(A22="","",H22-F22)</f>
        <v/>
      </c>
      <c r="J22" s="16" t="str">
        <f aca="false">IF(OR(A22="",F22=0),"",I22/F22)</f>
        <v/>
      </c>
      <c r="K22" s="11"/>
      <c r="L22" s="23"/>
      <c r="M22" s="2"/>
      <c r="N22" s="2"/>
      <c r="O22" s="2"/>
      <c r="P22" s="2"/>
    </row>
    <row r="23" customFormat="false" ht="15" hidden="false" customHeight="false" outlineLevel="0" collapsed="false">
      <c r="A23" s="2"/>
      <c r="B23" s="2"/>
      <c r="C23" s="2"/>
      <c r="D23" s="2"/>
      <c r="E23" s="25"/>
      <c r="F23" s="23" t="str">
        <f aca="false">IF(A23="","",D23*E23)</f>
        <v/>
      </c>
      <c r="G23" s="25"/>
      <c r="H23" s="23" t="str">
        <f aca="false">IF(A23="","",D23*G23)</f>
        <v/>
      </c>
      <c r="I23" s="23" t="str">
        <f aca="false">IF(A23="","",H23-F23)</f>
        <v/>
      </c>
      <c r="J23" s="16" t="str">
        <f aca="false">IF(OR(A23="",F23=0),"",I23/F23)</f>
        <v/>
      </c>
      <c r="K23" s="11"/>
      <c r="L23" s="23"/>
      <c r="M23" s="2"/>
      <c r="N23" s="2"/>
      <c r="O23" s="2"/>
      <c r="P23" s="2"/>
    </row>
    <row r="24" customFormat="false" ht="15" hidden="false" customHeight="false" outlineLevel="0" collapsed="false">
      <c r="A24" s="2"/>
      <c r="B24" s="2"/>
      <c r="C24" s="2"/>
      <c r="D24" s="2"/>
      <c r="E24" s="25"/>
      <c r="F24" s="23" t="str">
        <f aca="false">IF(A24="","",D24*E24)</f>
        <v/>
      </c>
      <c r="G24" s="25"/>
      <c r="H24" s="23" t="str">
        <f aca="false">IF(A24="","",D24*G24)</f>
        <v/>
      </c>
      <c r="I24" s="23" t="str">
        <f aca="false">IF(A24="","",H24-F24)</f>
        <v/>
      </c>
      <c r="J24" s="16" t="str">
        <f aca="false">IF(OR(A24="",F24=0),"",I24/F24)</f>
        <v/>
      </c>
      <c r="K24" s="11"/>
      <c r="L24" s="23"/>
      <c r="M24" s="2"/>
      <c r="N24" s="2"/>
      <c r="O24" s="2"/>
      <c r="P24" s="2"/>
    </row>
    <row r="25" customFormat="false" ht="15" hidden="false" customHeight="false" outlineLevel="0" collapsed="false">
      <c r="A25" s="2"/>
      <c r="B25" s="2"/>
      <c r="C25" s="2"/>
      <c r="D25" s="2"/>
      <c r="E25" s="25"/>
      <c r="F25" s="23" t="str">
        <f aca="false">IF(A25="","",D25*E25)</f>
        <v/>
      </c>
      <c r="G25" s="25"/>
      <c r="H25" s="23" t="str">
        <f aca="false">IF(A25="","",D25*G25)</f>
        <v/>
      </c>
      <c r="I25" s="23" t="str">
        <f aca="false">IF(A25="","",H25-F25)</f>
        <v/>
      </c>
      <c r="J25" s="16" t="str">
        <f aca="false">IF(OR(A25="",F25=0),"",I25/F25)</f>
        <v/>
      </c>
      <c r="K25" s="11"/>
      <c r="L25" s="23"/>
      <c r="M25" s="2"/>
      <c r="N25" s="2"/>
      <c r="O25" s="2"/>
      <c r="P25" s="2"/>
    </row>
    <row r="26" customFormat="false" ht="15" hidden="false" customHeight="false" outlineLevel="0" collapsed="false">
      <c r="A26" s="2"/>
      <c r="B26" s="2"/>
      <c r="C26" s="2"/>
      <c r="D26" s="2"/>
      <c r="E26" s="25"/>
      <c r="F26" s="23" t="str">
        <f aca="false">IF(A26="","",D26*E26)</f>
        <v/>
      </c>
      <c r="G26" s="25"/>
      <c r="H26" s="23" t="str">
        <f aca="false">IF(A26="","",D26*G26)</f>
        <v/>
      </c>
      <c r="I26" s="23" t="str">
        <f aca="false">IF(A26="","",H26-F26)</f>
        <v/>
      </c>
      <c r="J26" s="16" t="str">
        <f aca="false">IF(OR(A26="",F26=0),"",I26/F26)</f>
        <v/>
      </c>
      <c r="K26" s="11"/>
      <c r="L26" s="23"/>
      <c r="M26" s="2"/>
      <c r="N26" s="2"/>
      <c r="O26" s="2"/>
      <c r="P26" s="2"/>
    </row>
    <row r="27" customFormat="false" ht="15" hidden="false" customHeight="false" outlineLevel="0" collapsed="false">
      <c r="A27" s="2"/>
      <c r="B27" s="2"/>
      <c r="C27" s="2"/>
      <c r="D27" s="2"/>
      <c r="E27" s="25"/>
      <c r="F27" s="23" t="str">
        <f aca="false">IF(A27="","",D27*E27)</f>
        <v/>
      </c>
      <c r="G27" s="25"/>
      <c r="H27" s="23" t="str">
        <f aca="false">IF(A27="","",D27*G27)</f>
        <v/>
      </c>
      <c r="I27" s="23" t="str">
        <f aca="false">IF(A27="","",H27-F27)</f>
        <v/>
      </c>
      <c r="J27" s="16" t="str">
        <f aca="false">IF(OR(A27="",F27=0),"",I27/F27)</f>
        <v/>
      </c>
      <c r="K27" s="11"/>
      <c r="L27" s="23"/>
      <c r="M27" s="2"/>
      <c r="N27" s="2"/>
      <c r="O27" s="2"/>
      <c r="P27" s="2"/>
    </row>
    <row r="28" customFormat="false" ht="15" hidden="false" customHeight="false" outlineLevel="0" collapsed="false">
      <c r="A28" s="2"/>
      <c r="B28" s="2"/>
      <c r="C28" s="2"/>
      <c r="D28" s="2"/>
      <c r="E28" s="25"/>
      <c r="F28" s="23" t="str">
        <f aca="false">IF(A28="","",D28*E28)</f>
        <v/>
      </c>
      <c r="G28" s="25"/>
      <c r="H28" s="23" t="str">
        <f aca="false">IF(A28="","",D28*G28)</f>
        <v/>
      </c>
      <c r="I28" s="23" t="str">
        <f aca="false">IF(A28="","",H28-F28)</f>
        <v/>
      </c>
      <c r="J28" s="16" t="str">
        <f aca="false">IF(OR(A28="",F28=0),"",I28/F28)</f>
        <v/>
      </c>
      <c r="K28" s="11"/>
      <c r="L28" s="23"/>
      <c r="M28" s="2"/>
      <c r="N28" s="2"/>
      <c r="O28" s="2"/>
      <c r="P28" s="2"/>
    </row>
    <row r="29" customFormat="false" ht="15" hidden="false" customHeight="false" outlineLevel="0" collapsed="false">
      <c r="A29" s="2"/>
      <c r="B29" s="2"/>
      <c r="C29" s="2"/>
      <c r="D29" s="2"/>
      <c r="E29" s="25"/>
      <c r="F29" s="23" t="str">
        <f aca="false">IF(A29="","",D29*E29)</f>
        <v/>
      </c>
      <c r="G29" s="25"/>
      <c r="H29" s="23" t="str">
        <f aca="false">IF(A29="","",D29*G29)</f>
        <v/>
      </c>
      <c r="I29" s="23" t="str">
        <f aca="false">IF(A29="","",H29-F29)</f>
        <v/>
      </c>
      <c r="J29" s="16" t="str">
        <f aca="false">IF(OR(A29="",F29=0),"",I29/F29)</f>
        <v/>
      </c>
      <c r="K29" s="11"/>
      <c r="L29" s="23"/>
      <c r="M29" s="2"/>
      <c r="N29" s="2"/>
      <c r="O29" s="2"/>
      <c r="P29" s="2"/>
    </row>
    <row r="30" customFormat="false" ht="15" hidden="false" customHeight="false" outlineLevel="0" collapsed="false">
      <c r="A30" s="2"/>
      <c r="B30" s="2"/>
      <c r="C30" s="2"/>
      <c r="D30" s="2"/>
      <c r="E30" s="25"/>
      <c r="F30" s="23" t="str">
        <f aca="false">IF(A30="","",D30*E30)</f>
        <v/>
      </c>
      <c r="G30" s="25"/>
      <c r="H30" s="23" t="str">
        <f aca="false">IF(A30="","",D30*G30)</f>
        <v/>
      </c>
      <c r="I30" s="23" t="str">
        <f aca="false">IF(A30="","",H30-F30)</f>
        <v/>
      </c>
      <c r="J30" s="16" t="str">
        <f aca="false">IF(OR(A30="",F30=0),"",I30/F30)</f>
        <v/>
      </c>
      <c r="K30" s="11"/>
      <c r="L30" s="23"/>
      <c r="M30" s="2"/>
      <c r="N30" s="2"/>
      <c r="O30" s="2"/>
      <c r="P30" s="2"/>
    </row>
    <row r="31" customFormat="false" ht="15" hidden="false" customHeight="false" outlineLevel="0" collapsed="false">
      <c r="A31" s="2"/>
      <c r="B31" s="2"/>
      <c r="C31" s="2"/>
      <c r="D31" s="2"/>
      <c r="E31" s="25"/>
      <c r="F31" s="23" t="str">
        <f aca="false">IF(A31="","",D31*E31)</f>
        <v/>
      </c>
      <c r="G31" s="25"/>
      <c r="H31" s="23" t="str">
        <f aca="false">IF(A31="","",D31*G31)</f>
        <v/>
      </c>
      <c r="I31" s="23" t="str">
        <f aca="false">IF(A31="","",H31-F31)</f>
        <v/>
      </c>
      <c r="J31" s="16" t="str">
        <f aca="false">IF(OR(A31="",F31=0),"",I31/F31)</f>
        <v/>
      </c>
      <c r="K31" s="11"/>
      <c r="L31" s="23"/>
      <c r="M31" s="2"/>
      <c r="N31" s="2"/>
      <c r="O31" s="2"/>
      <c r="P31" s="2"/>
    </row>
    <row r="32" customFormat="false" ht="15" hidden="false" customHeight="false" outlineLevel="0" collapsed="false">
      <c r="A32" s="2"/>
      <c r="B32" s="2"/>
      <c r="C32" s="2"/>
      <c r="D32" s="2"/>
      <c r="E32" s="25"/>
      <c r="F32" s="23" t="str">
        <f aca="false">IF(A32="","",D32*E32)</f>
        <v/>
      </c>
      <c r="G32" s="25"/>
      <c r="H32" s="23" t="str">
        <f aca="false">IF(A32="","",D32*G32)</f>
        <v/>
      </c>
      <c r="I32" s="23" t="str">
        <f aca="false">IF(A32="","",H32-F32)</f>
        <v/>
      </c>
      <c r="J32" s="16" t="str">
        <f aca="false">IF(OR(A32="",F32=0),"",I32/F32)</f>
        <v/>
      </c>
      <c r="K32" s="11"/>
      <c r="L32" s="23"/>
      <c r="M32" s="2"/>
      <c r="N32" s="2"/>
      <c r="O32" s="2"/>
      <c r="P32" s="2"/>
    </row>
    <row r="33" customFormat="false" ht="15" hidden="false" customHeight="false" outlineLevel="0" collapsed="false">
      <c r="A33" s="2"/>
      <c r="B33" s="2"/>
      <c r="C33" s="2"/>
      <c r="D33" s="2"/>
      <c r="E33" s="25"/>
      <c r="F33" s="23" t="str">
        <f aca="false">IF(A33="","",D33*E33)</f>
        <v/>
      </c>
      <c r="G33" s="25"/>
      <c r="H33" s="23" t="str">
        <f aca="false">IF(A33="","",D33*G33)</f>
        <v/>
      </c>
      <c r="I33" s="23" t="str">
        <f aca="false">IF(A33="","",H33-F33)</f>
        <v/>
      </c>
      <c r="J33" s="16" t="str">
        <f aca="false">IF(OR(A33="",F33=0),"",I33/F33)</f>
        <v/>
      </c>
      <c r="K33" s="11"/>
      <c r="L33" s="23"/>
      <c r="M33" s="2"/>
      <c r="N33" s="2"/>
      <c r="O33" s="2"/>
      <c r="P33" s="2"/>
    </row>
    <row r="34" customFormat="false" ht="15" hidden="false" customHeight="false" outlineLevel="0" collapsed="false">
      <c r="A34" s="2"/>
      <c r="B34" s="2"/>
      <c r="C34" s="2"/>
      <c r="D34" s="2"/>
      <c r="E34" s="25"/>
      <c r="F34" s="23" t="str">
        <f aca="false">IF(A34="","",D34*E34)</f>
        <v/>
      </c>
      <c r="G34" s="25"/>
      <c r="H34" s="23" t="str">
        <f aca="false">IF(A34="","",D34*G34)</f>
        <v/>
      </c>
      <c r="I34" s="23" t="str">
        <f aca="false">IF(A34="","",H34-F34)</f>
        <v/>
      </c>
      <c r="J34" s="16" t="str">
        <f aca="false">IF(OR(A34="",F34=0),"",I34/F34)</f>
        <v/>
      </c>
      <c r="K34" s="11"/>
      <c r="L34" s="23"/>
      <c r="M34" s="2"/>
      <c r="N34" s="2"/>
      <c r="O34" s="2"/>
      <c r="P34" s="2"/>
    </row>
    <row r="35" customFormat="false" ht="15" hidden="false" customHeight="false" outlineLevel="0" collapsed="false">
      <c r="A35" s="2"/>
      <c r="B35" s="2"/>
      <c r="C35" s="2"/>
      <c r="D35" s="2"/>
      <c r="E35" s="25"/>
      <c r="F35" s="23" t="str">
        <f aca="false">IF(A35="","",D35*E35)</f>
        <v/>
      </c>
      <c r="G35" s="25"/>
      <c r="H35" s="23" t="str">
        <f aca="false">IF(A35="","",D35*G35)</f>
        <v/>
      </c>
      <c r="I35" s="23" t="str">
        <f aca="false">IF(A35="","",H35-F35)</f>
        <v/>
      </c>
      <c r="J35" s="16" t="str">
        <f aca="false">IF(OR(A35="",F35=0),"",I35/F35)</f>
        <v/>
      </c>
      <c r="K35" s="11"/>
      <c r="L35" s="23"/>
      <c r="M35" s="2"/>
      <c r="N35" s="2"/>
      <c r="O35" s="2"/>
      <c r="P35" s="2"/>
    </row>
    <row r="36" customFormat="false" ht="15" hidden="false" customHeight="false" outlineLevel="0" collapsed="false">
      <c r="A36" s="2"/>
      <c r="B36" s="2"/>
      <c r="C36" s="2"/>
      <c r="D36" s="2"/>
      <c r="E36" s="25"/>
      <c r="F36" s="23" t="str">
        <f aca="false">IF(A36="","",D36*E36)</f>
        <v/>
      </c>
      <c r="G36" s="25"/>
      <c r="H36" s="23" t="str">
        <f aca="false">IF(A36="","",D36*G36)</f>
        <v/>
      </c>
      <c r="I36" s="23" t="str">
        <f aca="false">IF(A36="","",H36-F36)</f>
        <v/>
      </c>
      <c r="J36" s="16" t="str">
        <f aca="false">IF(OR(A36="",F36=0),"",I36/F36)</f>
        <v/>
      </c>
      <c r="K36" s="11"/>
      <c r="L36" s="23"/>
      <c r="M36" s="2"/>
      <c r="N36" s="2"/>
      <c r="O36" s="2"/>
      <c r="P36" s="2"/>
    </row>
    <row r="37" customFormat="false" ht="15" hidden="false" customHeight="false" outlineLevel="0" collapsed="false">
      <c r="A37" s="2"/>
      <c r="B37" s="2"/>
      <c r="C37" s="2"/>
      <c r="D37" s="2"/>
      <c r="E37" s="25"/>
      <c r="F37" s="23" t="str">
        <f aca="false">IF(A37="","",D37*E37)</f>
        <v/>
      </c>
      <c r="G37" s="25"/>
      <c r="H37" s="23" t="str">
        <f aca="false">IF(A37="","",D37*G37)</f>
        <v/>
      </c>
      <c r="I37" s="23" t="str">
        <f aca="false">IF(A37="","",H37-F37)</f>
        <v/>
      </c>
      <c r="J37" s="16" t="str">
        <f aca="false">IF(OR(A37="",F37=0),"",I37/F37)</f>
        <v/>
      </c>
      <c r="K37" s="11"/>
      <c r="L37" s="23"/>
      <c r="M37" s="2"/>
      <c r="N37" s="2"/>
      <c r="O37" s="2"/>
      <c r="P37" s="2"/>
    </row>
    <row r="38" customFormat="false" ht="15" hidden="false" customHeight="false" outlineLevel="0" collapsed="false">
      <c r="A38" s="2"/>
      <c r="B38" s="2"/>
      <c r="C38" s="2"/>
      <c r="D38" s="2"/>
      <c r="E38" s="25"/>
      <c r="F38" s="23" t="str">
        <f aca="false">IF(A38="","",D38*E38)</f>
        <v/>
      </c>
      <c r="G38" s="25"/>
      <c r="H38" s="23" t="str">
        <f aca="false">IF(A38="","",D38*G38)</f>
        <v/>
      </c>
      <c r="I38" s="23" t="str">
        <f aca="false">IF(A38="","",H38-F38)</f>
        <v/>
      </c>
      <c r="J38" s="16" t="str">
        <f aca="false">IF(OR(A38="",F38=0),"",I38/F38)</f>
        <v/>
      </c>
      <c r="K38" s="11"/>
      <c r="L38" s="23"/>
      <c r="M38" s="2"/>
      <c r="N38" s="2"/>
      <c r="O38" s="2"/>
      <c r="P38" s="2"/>
    </row>
    <row r="39" customFormat="false" ht="15" hidden="false" customHeight="false" outlineLevel="0" collapsed="false">
      <c r="A39" s="2"/>
      <c r="B39" s="2"/>
      <c r="C39" s="2"/>
      <c r="D39" s="2"/>
      <c r="E39" s="25"/>
      <c r="F39" s="23" t="str">
        <f aca="false">IF(A39="","",D39*E39)</f>
        <v/>
      </c>
      <c r="G39" s="25"/>
      <c r="H39" s="23" t="str">
        <f aca="false">IF(A39="","",D39*G39)</f>
        <v/>
      </c>
      <c r="I39" s="23" t="str">
        <f aca="false">IF(A39="","",H39-F39)</f>
        <v/>
      </c>
      <c r="J39" s="16" t="str">
        <f aca="false">IF(OR(A39="",F39=0),"",I39/F39)</f>
        <v/>
      </c>
      <c r="K39" s="11"/>
      <c r="L39" s="23"/>
      <c r="M39" s="2"/>
      <c r="N39" s="2"/>
      <c r="O39" s="2"/>
      <c r="P39" s="2"/>
    </row>
    <row r="40" customFormat="false" ht="15" hidden="false" customHeight="false" outlineLevel="0" collapsed="false">
      <c r="A40" s="2"/>
      <c r="B40" s="2"/>
      <c r="C40" s="2"/>
      <c r="D40" s="2"/>
      <c r="E40" s="25"/>
      <c r="F40" s="23" t="str">
        <f aca="false">IF(A40="","",D40*E40)</f>
        <v/>
      </c>
      <c r="G40" s="25"/>
      <c r="H40" s="23" t="str">
        <f aca="false">IF(A40="","",D40*G40)</f>
        <v/>
      </c>
      <c r="I40" s="23" t="str">
        <f aca="false">IF(A40="","",H40-F40)</f>
        <v/>
      </c>
      <c r="J40" s="16" t="str">
        <f aca="false">IF(OR(A40="",F40=0),"",I40/F40)</f>
        <v/>
      </c>
      <c r="K40" s="11"/>
      <c r="L40" s="23"/>
      <c r="M40" s="2"/>
      <c r="N40" s="2"/>
      <c r="O40" s="2"/>
      <c r="P40" s="2"/>
    </row>
    <row r="41" customFormat="false" ht="15" hidden="false" customHeight="false" outlineLevel="0" collapsed="false">
      <c r="A41" s="2"/>
      <c r="B41" s="2"/>
      <c r="C41" s="2"/>
      <c r="D41" s="2"/>
      <c r="E41" s="25"/>
      <c r="F41" s="23" t="str">
        <f aca="false">IF(A41="","",D41*E41)</f>
        <v/>
      </c>
      <c r="G41" s="25"/>
      <c r="H41" s="23" t="str">
        <f aca="false">IF(A41="","",D41*G41)</f>
        <v/>
      </c>
      <c r="I41" s="23" t="str">
        <f aca="false">IF(A41="","",H41-F41)</f>
        <v/>
      </c>
      <c r="J41" s="16" t="str">
        <f aca="false">IF(OR(A41="",F41=0),"",I41/F41)</f>
        <v/>
      </c>
      <c r="K41" s="11"/>
      <c r="L41" s="23"/>
      <c r="M41" s="2"/>
      <c r="N41" s="2"/>
      <c r="O41" s="2"/>
      <c r="P41" s="2"/>
    </row>
    <row r="42" customFormat="false" ht="15" hidden="false" customHeight="false" outlineLevel="0" collapsed="false">
      <c r="A42" s="2"/>
      <c r="B42" s="2"/>
      <c r="C42" s="2"/>
      <c r="D42" s="2"/>
      <c r="E42" s="25"/>
      <c r="F42" s="23" t="str">
        <f aca="false">IF(A42="","",D42*E42)</f>
        <v/>
      </c>
      <c r="G42" s="25"/>
      <c r="H42" s="23" t="str">
        <f aca="false">IF(A42="","",D42*G42)</f>
        <v/>
      </c>
      <c r="I42" s="23" t="str">
        <f aca="false">IF(A42="","",H42-F42)</f>
        <v/>
      </c>
      <c r="J42" s="16" t="str">
        <f aca="false">IF(OR(A42="",F42=0),"",I42/F42)</f>
        <v/>
      </c>
      <c r="K42" s="11"/>
      <c r="L42" s="23"/>
      <c r="M42" s="2"/>
      <c r="N42" s="2"/>
      <c r="O42" s="2"/>
      <c r="P42" s="2"/>
    </row>
    <row r="43" customFormat="false" ht="15" hidden="false" customHeight="false" outlineLevel="0" collapsed="false">
      <c r="A43" s="2"/>
      <c r="B43" s="2"/>
      <c r="C43" s="2"/>
      <c r="D43" s="2"/>
      <c r="E43" s="25"/>
      <c r="F43" s="23" t="str">
        <f aca="false">IF(A43="","",D43*E43)</f>
        <v/>
      </c>
      <c r="G43" s="25"/>
      <c r="H43" s="23" t="str">
        <f aca="false">IF(A43="","",D43*G43)</f>
        <v/>
      </c>
      <c r="I43" s="23" t="str">
        <f aca="false">IF(A43="","",H43-F43)</f>
        <v/>
      </c>
      <c r="J43" s="16" t="str">
        <f aca="false">IF(OR(A43="",F43=0),"",I43/F43)</f>
        <v/>
      </c>
      <c r="K43" s="11"/>
      <c r="L43" s="23"/>
      <c r="M43" s="2"/>
      <c r="N43" s="2"/>
      <c r="O43" s="2"/>
      <c r="P43" s="2"/>
    </row>
    <row r="44" customFormat="false" ht="15" hidden="false" customHeight="false" outlineLevel="0" collapsed="false">
      <c r="A44" s="2"/>
      <c r="B44" s="2"/>
      <c r="C44" s="2"/>
      <c r="D44" s="2"/>
      <c r="E44" s="25"/>
      <c r="F44" s="23" t="str">
        <f aca="false">IF(A44="","",D44*E44)</f>
        <v/>
      </c>
      <c r="G44" s="25"/>
      <c r="H44" s="23" t="str">
        <f aca="false">IF(A44="","",D44*G44)</f>
        <v/>
      </c>
      <c r="I44" s="23" t="str">
        <f aca="false">IF(A44="","",H44-F44)</f>
        <v/>
      </c>
      <c r="J44" s="16" t="str">
        <f aca="false">IF(OR(A44="",F44=0),"",I44/F44)</f>
        <v/>
      </c>
      <c r="K44" s="11"/>
      <c r="L44" s="23"/>
      <c r="M44" s="2"/>
      <c r="N44" s="2"/>
      <c r="O44" s="2"/>
      <c r="P44" s="2"/>
    </row>
    <row r="45" customFormat="false" ht="15" hidden="false" customHeight="false" outlineLevel="0" collapsed="false">
      <c r="A45" s="2"/>
      <c r="B45" s="2"/>
      <c r="C45" s="2"/>
      <c r="D45" s="2"/>
      <c r="E45" s="25"/>
      <c r="F45" s="23" t="str">
        <f aca="false">IF(A45="","",D45*E45)</f>
        <v/>
      </c>
      <c r="G45" s="25"/>
      <c r="H45" s="23" t="str">
        <f aca="false">IF(A45="","",D45*G45)</f>
        <v/>
      </c>
      <c r="I45" s="23" t="str">
        <f aca="false">IF(A45="","",H45-F45)</f>
        <v/>
      </c>
      <c r="J45" s="16" t="str">
        <f aca="false">IF(OR(A45="",F45=0),"",I45/F45)</f>
        <v/>
      </c>
      <c r="K45" s="11"/>
      <c r="L45" s="23"/>
      <c r="M45" s="2"/>
      <c r="N45" s="2"/>
      <c r="O45" s="2"/>
      <c r="P45" s="2"/>
    </row>
    <row r="46" customFormat="false" ht="15" hidden="false" customHeight="false" outlineLevel="0" collapsed="false">
      <c r="A46" s="2"/>
      <c r="B46" s="2"/>
      <c r="C46" s="2"/>
      <c r="D46" s="2"/>
      <c r="E46" s="25"/>
      <c r="F46" s="23" t="str">
        <f aca="false">IF(A46="","",D46*E46)</f>
        <v/>
      </c>
      <c r="G46" s="25"/>
      <c r="H46" s="23" t="str">
        <f aca="false">IF(A46="","",D46*G46)</f>
        <v/>
      </c>
      <c r="I46" s="23" t="str">
        <f aca="false">IF(A46="","",H46-F46)</f>
        <v/>
      </c>
      <c r="J46" s="16" t="str">
        <f aca="false">IF(OR(A46="",F46=0),"",I46/F46)</f>
        <v/>
      </c>
      <c r="K46" s="11"/>
      <c r="L46" s="23"/>
      <c r="M46" s="2"/>
      <c r="N46" s="2"/>
      <c r="O46" s="2"/>
      <c r="P46" s="2"/>
    </row>
    <row r="47" customFormat="false" ht="15" hidden="false" customHeight="false" outlineLevel="0" collapsed="false">
      <c r="A47" s="2"/>
      <c r="B47" s="2"/>
      <c r="C47" s="2"/>
      <c r="D47" s="2"/>
      <c r="E47" s="25"/>
      <c r="F47" s="23" t="str">
        <f aca="false">IF(A47="","",D47*E47)</f>
        <v/>
      </c>
      <c r="G47" s="25"/>
      <c r="H47" s="23" t="str">
        <f aca="false">IF(A47="","",D47*G47)</f>
        <v/>
      </c>
      <c r="I47" s="23" t="str">
        <f aca="false">IF(A47="","",H47-F47)</f>
        <v/>
      </c>
      <c r="J47" s="16" t="str">
        <f aca="false">IF(OR(A47="",F47=0),"",I47/F47)</f>
        <v/>
      </c>
      <c r="K47" s="11"/>
      <c r="L47" s="23"/>
      <c r="M47" s="2"/>
      <c r="N47" s="2"/>
      <c r="O47" s="2"/>
      <c r="P47" s="2"/>
    </row>
    <row r="48" customFormat="false" ht="15" hidden="false" customHeight="false" outlineLevel="0" collapsed="false">
      <c r="A48" s="2"/>
      <c r="B48" s="2"/>
      <c r="C48" s="2"/>
      <c r="D48" s="2"/>
      <c r="E48" s="25"/>
      <c r="F48" s="23" t="str">
        <f aca="false">IF(A48="","",D48*E48)</f>
        <v/>
      </c>
      <c r="G48" s="25"/>
      <c r="H48" s="23" t="str">
        <f aca="false">IF(A48="","",D48*G48)</f>
        <v/>
      </c>
      <c r="I48" s="23" t="str">
        <f aca="false">IF(A48="","",H48-F48)</f>
        <v/>
      </c>
      <c r="J48" s="16" t="str">
        <f aca="false">IF(OR(A48="",F48=0),"",I48/F48)</f>
        <v/>
      </c>
      <c r="K48" s="11"/>
      <c r="L48" s="23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5"/>
      <c r="F49" s="23" t="str">
        <f aca="false">IF(A49="","",D49*E49)</f>
        <v/>
      </c>
      <c r="G49" s="25"/>
      <c r="H49" s="23" t="str">
        <f aca="false">IF(A49="","",D49*G49)</f>
        <v/>
      </c>
      <c r="I49" s="23" t="str">
        <f aca="false">IF(A49="","",H49-F49)</f>
        <v/>
      </c>
      <c r="J49" s="16" t="str">
        <f aca="false">IF(OR(A49="",F49=0),"",I49/F49)</f>
        <v/>
      </c>
      <c r="K49" s="11"/>
      <c r="L49" s="23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5"/>
      <c r="F50" s="23" t="str">
        <f aca="false">IF(A50="","",D50*E50)</f>
        <v/>
      </c>
      <c r="G50" s="25"/>
      <c r="H50" s="23" t="str">
        <f aca="false">IF(A50="","",D50*G50)</f>
        <v/>
      </c>
      <c r="I50" s="23" t="str">
        <f aca="false">IF(A50="","",H50-F50)</f>
        <v/>
      </c>
      <c r="J50" s="16" t="str">
        <f aca="false">IF(OR(A50="",F50=0),"",I50/F50)</f>
        <v/>
      </c>
      <c r="K50" s="11"/>
      <c r="L50" s="23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5"/>
      <c r="F51" s="23" t="str">
        <f aca="false">IF(A51="","",D51*E51)</f>
        <v/>
      </c>
      <c r="G51" s="25"/>
      <c r="H51" s="23" t="str">
        <f aca="false">IF(A51="","",D51*G51)</f>
        <v/>
      </c>
      <c r="I51" s="23" t="str">
        <f aca="false">IF(A51="","",H51-F51)</f>
        <v/>
      </c>
      <c r="J51" s="16" t="str">
        <f aca="false">IF(OR(A51="",F51=0),"",I51/F51)</f>
        <v/>
      </c>
      <c r="K51" s="11"/>
      <c r="L51" s="23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5"/>
      <c r="F52" s="23" t="str">
        <f aca="false">IF(A52="","",D52*E52)</f>
        <v/>
      </c>
      <c r="G52" s="25"/>
      <c r="H52" s="23" t="str">
        <f aca="false">IF(A52="","",D52*G52)</f>
        <v/>
      </c>
      <c r="I52" s="23" t="str">
        <f aca="false">IF(A52="","",H52-F52)</f>
        <v/>
      </c>
      <c r="J52" s="16" t="str">
        <f aca="false">IF(OR(A52="",F52=0),"",I52/F52)</f>
        <v/>
      </c>
      <c r="K52" s="11"/>
      <c r="L52" s="23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5"/>
      <c r="F53" s="23" t="str">
        <f aca="false">IF(A53="","",D53*E53)</f>
        <v/>
      </c>
      <c r="G53" s="25"/>
      <c r="H53" s="23" t="str">
        <f aca="false">IF(A53="","",D53*G53)</f>
        <v/>
      </c>
      <c r="I53" s="23" t="str">
        <f aca="false">IF(A53="","",H53-F53)</f>
        <v/>
      </c>
      <c r="J53" s="16" t="str">
        <f aca="false">IF(OR(A53="",F53=0),"",I53/F53)</f>
        <v/>
      </c>
      <c r="K53" s="11"/>
      <c r="L53" s="23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5"/>
      <c r="F54" s="23" t="str">
        <f aca="false">IF(A54="","",D54*E54)</f>
        <v/>
      </c>
      <c r="G54" s="25"/>
      <c r="H54" s="23" t="str">
        <f aca="false">IF(A54="","",D54*G54)</f>
        <v/>
      </c>
      <c r="I54" s="23" t="str">
        <f aca="false">IF(A54="","",H54-F54)</f>
        <v/>
      </c>
      <c r="J54" s="16" t="str">
        <f aca="false">IF(OR(A54="",F54=0),"",I54/F54)</f>
        <v/>
      </c>
      <c r="K54" s="11"/>
      <c r="L54" s="23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5"/>
      <c r="F55" s="23" t="str">
        <f aca="false">IF(A55="","",D55*E55)</f>
        <v/>
      </c>
      <c r="G55" s="25"/>
      <c r="H55" s="23" t="str">
        <f aca="false">IF(A55="","",D55*G55)</f>
        <v/>
      </c>
      <c r="I55" s="23" t="str">
        <f aca="false">IF(A55="","",H55-F55)</f>
        <v/>
      </c>
      <c r="J55" s="16" t="str">
        <f aca="false">IF(OR(A55="",F55=0),"",I55/F55)</f>
        <v/>
      </c>
      <c r="K55" s="11"/>
      <c r="L55" s="23"/>
      <c r="M55" s="2"/>
      <c r="N55" s="2"/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5"/>
      <c r="F56" s="23" t="str">
        <f aca="false">IF(A56="","",D56*E56)</f>
        <v/>
      </c>
      <c r="G56" s="25"/>
      <c r="H56" s="23" t="str">
        <f aca="false">IF(A56="","",D56*G56)</f>
        <v/>
      </c>
      <c r="I56" s="23" t="str">
        <f aca="false">IF(A56="","",H56-F56)</f>
        <v/>
      </c>
      <c r="J56" s="16" t="str">
        <f aca="false">IF(OR(A56="",F56=0),"",I56/F56)</f>
        <v/>
      </c>
      <c r="K56" s="11"/>
      <c r="L56" s="23"/>
      <c r="M56" s="2"/>
      <c r="N56" s="2"/>
      <c r="O56" s="2"/>
      <c r="P56" s="2"/>
    </row>
    <row r="57" customFormat="false" ht="15" hidden="false" customHeight="false" outlineLevel="0" collapsed="false">
      <c r="A57" s="2"/>
      <c r="B57" s="2"/>
      <c r="C57" s="2"/>
      <c r="D57" s="2"/>
      <c r="E57" s="25"/>
      <c r="F57" s="23" t="str">
        <f aca="false">IF(A57="","",D57*E57)</f>
        <v/>
      </c>
      <c r="G57" s="25"/>
      <c r="H57" s="23" t="str">
        <f aca="false">IF(A57="","",D57*G57)</f>
        <v/>
      </c>
      <c r="I57" s="23" t="str">
        <f aca="false">IF(A57="","",H57-F57)</f>
        <v/>
      </c>
      <c r="J57" s="16" t="str">
        <f aca="false">IF(OR(A57="",F57=0),"",I57/F57)</f>
        <v/>
      </c>
      <c r="K57" s="11"/>
      <c r="L57" s="23"/>
      <c r="M57" s="2"/>
      <c r="N57" s="2"/>
      <c r="O57" s="2"/>
      <c r="P57" s="2"/>
    </row>
    <row r="58" customFormat="false" ht="15" hidden="false" customHeight="false" outlineLevel="0" collapsed="false">
      <c r="A58" s="2"/>
      <c r="B58" s="2"/>
      <c r="C58" s="2"/>
      <c r="D58" s="2"/>
      <c r="E58" s="25"/>
      <c r="F58" s="23" t="str">
        <f aca="false">IF(A58="","",D58*E58)</f>
        <v/>
      </c>
      <c r="G58" s="25"/>
      <c r="H58" s="23" t="str">
        <f aca="false">IF(A58="","",D58*G58)</f>
        <v/>
      </c>
      <c r="I58" s="23" t="str">
        <f aca="false">IF(A58="","",H58-F58)</f>
        <v/>
      </c>
      <c r="J58" s="16" t="str">
        <f aca="false">IF(OR(A58="",F58=0),"",I58/F58)</f>
        <v/>
      </c>
      <c r="K58" s="11"/>
      <c r="L58" s="23"/>
      <c r="M58" s="2"/>
      <c r="N58" s="2"/>
      <c r="O58" s="2"/>
      <c r="P58" s="2"/>
    </row>
    <row r="59" customFormat="false" ht="15" hidden="false" customHeight="false" outlineLevel="0" collapsed="false">
      <c r="A59" s="2"/>
      <c r="B59" s="2"/>
      <c r="C59" s="2"/>
      <c r="D59" s="2"/>
      <c r="E59" s="25"/>
      <c r="F59" s="23" t="str">
        <f aca="false">IF(A59="","",D59*E59)</f>
        <v/>
      </c>
      <c r="G59" s="25"/>
      <c r="H59" s="23" t="str">
        <f aca="false">IF(A59="","",D59*G59)</f>
        <v/>
      </c>
      <c r="I59" s="23" t="str">
        <f aca="false">IF(A59="","",H59-F59)</f>
        <v/>
      </c>
      <c r="J59" s="16" t="str">
        <f aca="false">IF(OR(A59="",F59=0),"",I59/F59)</f>
        <v/>
      </c>
      <c r="K59" s="11"/>
      <c r="L59" s="23"/>
      <c r="M59" s="2"/>
      <c r="N59" s="2"/>
      <c r="O59" s="2"/>
      <c r="P59" s="2"/>
    </row>
    <row r="60" customFormat="false" ht="15" hidden="false" customHeight="false" outlineLevel="0" collapsed="false">
      <c r="A60" s="2"/>
      <c r="B60" s="2"/>
      <c r="C60" s="2"/>
      <c r="D60" s="2"/>
      <c r="E60" s="25"/>
      <c r="F60" s="23" t="str">
        <f aca="false">IF(A60="","",D60*E60)</f>
        <v/>
      </c>
      <c r="G60" s="25"/>
      <c r="H60" s="23" t="str">
        <f aca="false">IF(A60="","",D60*G60)</f>
        <v/>
      </c>
      <c r="I60" s="23" t="str">
        <f aca="false">IF(A60="","",H60-F60)</f>
        <v/>
      </c>
      <c r="J60" s="16" t="str">
        <f aca="false">IF(OR(A60="",F60=0),"",I60/F60)</f>
        <v/>
      </c>
      <c r="K60" s="11"/>
      <c r="L60" s="23"/>
      <c r="M60" s="2"/>
      <c r="N60" s="2"/>
      <c r="O60" s="2"/>
      <c r="P60" s="2"/>
    </row>
    <row r="61" customFormat="false" ht="15" hidden="false" customHeight="false" outlineLevel="0" collapsed="false">
      <c r="A61" s="2"/>
      <c r="B61" s="2"/>
      <c r="C61" s="2"/>
      <c r="D61" s="2"/>
      <c r="E61" s="25"/>
      <c r="F61" s="23" t="str">
        <f aca="false">IF(A61="","",D61*E61)</f>
        <v/>
      </c>
      <c r="G61" s="25"/>
      <c r="H61" s="23" t="str">
        <f aca="false">IF(A61="","",D61*G61)</f>
        <v/>
      </c>
      <c r="I61" s="23" t="str">
        <f aca="false">IF(A61="","",H61-F61)</f>
        <v/>
      </c>
      <c r="J61" s="16" t="str">
        <f aca="false">IF(OR(A61="",F61=0),"",I61/F61)</f>
        <v/>
      </c>
      <c r="K61" s="11"/>
      <c r="L61" s="23"/>
      <c r="M61" s="2"/>
      <c r="N61" s="2"/>
      <c r="O61" s="2"/>
      <c r="P61" s="2"/>
    </row>
    <row r="62" customFormat="false" ht="15" hidden="false" customHeight="false" outlineLevel="0" collapsed="false">
      <c r="A62" s="2"/>
      <c r="B62" s="2"/>
      <c r="C62" s="2"/>
      <c r="D62" s="2"/>
      <c r="E62" s="25"/>
      <c r="F62" s="23" t="str">
        <f aca="false">IF(A62="","",D62*E62)</f>
        <v/>
      </c>
      <c r="G62" s="25"/>
      <c r="H62" s="23" t="str">
        <f aca="false">IF(A62="","",D62*G62)</f>
        <v/>
      </c>
      <c r="I62" s="23" t="str">
        <f aca="false">IF(A62="","",H62-F62)</f>
        <v/>
      </c>
      <c r="J62" s="16" t="str">
        <f aca="false">IF(OR(A62="",F62=0),"",I62/F62)</f>
        <v/>
      </c>
      <c r="K62" s="11"/>
      <c r="L62" s="23"/>
      <c r="M62" s="2"/>
      <c r="N62" s="2"/>
      <c r="O62" s="2"/>
      <c r="P62" s="2"/>
    </row>
    <row r="63" customFormat="false" ht="15" hidden="false" customHeight="false" outlineLevel="0" collapsed="false">
      <c r="A63" s="2"/>
      <c r="B63" s="2"/>
      <c r="C63" s="2"/>
      <c r="D63" s="2"/>
      <c r="E63" s="25"/>
      <c r="F63" s="23" t="str">
        <f aca="false">IF(A63="","",D63*E63)</f>
        <v/>
      </c>
      <c r="G63" s="25"/>
      <c r="H63" s="23" t="str">
        <f aca="false">IF(A63="","",D63*G63)</f>
        <v/>
      </c>
      <c r="I63" s="23" t="str">
        <f aca="false">IF(A63="","",H63-F63)</f>
        <v/>
      </c>
      <c r="J63" s="16" t="str">
        <f aca="false">IF(OR(A63="",F63=0),"",I63/F63)</f>
        <v/>
      </c>
      <c r="K63" s="11"/>
      <c r="L63" s="23"/>
      <c r="M63" s="2"/>
      <c r="N63" s="2"/>
      <c r="O63" s="2"/>
      <c r="P63" s="2"/>
    </row>
    <row r="64" customFormat="false" ht="15" hidden="false" customHeight="false" outlineLevel="0" collapsed="false">
      <c r="A64" s="2"/>
      <c r="B64" s="2"/>
      <c r="C64" s="2"/>
      <c r="D64" s="2"/>
      <c r="E64" s="25"/>
      <c r="F64" s="23" t="str">
        <f aca="false">IF(A64="","",D64*E64)</f>
        <v/>
      </c>
      <c r="G64" s="25"/>
      <c r="H64" s="23" t="str">
        <f aca="false">IF(A64="","",D64*G64)</f>
        <v/>
      </c>
      <c r="I64" s="23" t="str">
        <f aca="false">IF(A64="","",H64-F64)</f>
        <v/>
      </c>
      <c r="J64" s="16" t="str">
        <f aca="false">IF(OR(A64="",F64=0),"",I64/F64)</f>
        <v/>
      </c>
      <c r="K64" s="11"/>
      <c r="L64" s="23"/>
      <c r="M64" s="2"/>
      <c r="N64" s="2"/>
      <c r="O64" s="2"/>
      <c r="P64" s="2"/>
    </row>
    <row r="65" customFormat="false" ht="15" hidden="false" customHeight="false" outlineLevel="0" collapsed="false">
      <c r="A65" s="2"/>
      <c r="B65" s="2"/>
      <c r="C65" s="2"/>
      <c r="D65" s="2"/>
      <c r="E65" s="25"/>
      <c r="F65" s="23" t="str">
        <f aca="false">IF(A65="","",D65*E65)</f>
        <v/>
      </c>
      <c r="G65" s="25"/>
      <c r="H65" s="23" t="str">
        <f aca="false">IF(A65="","",D65*G65)</f>
        <v/>
      </c>
      <c r="I65" s="23" t="str">
        <f aca="false">IF(A65="","",H65-F65)</f>
        <v/>
      </c>
      <c r="J65" s="16" t="str">
        <f aca="false">IF(OR(A65="",F65=0),"",I65/F65)</f>
        <v/>
      </c>
      <c r="K65" s="11"/>
      <c r="L65" s="23"/>
      <c r="M65" s="2"/>
      <c r="N65" s="2"/>
      <c r="O65" s="2"/>
      <c r="P65" s="2"/>
    </row>
    <row r="66" customFormat="false" ht="15" hidden="false" customHeight="false" outlineLevel="0" collapsed="false">
      <c r="A66" s="2"/>
      <c r="B66" s="2"/>
      <c r="C66" s="2"/>
      <c r="D66" s="2"/>
      <c r="E66" s="25"/>
      <c r="F66" s="23" t="str">
        <f aca="false">IF(A66="","",D66*E66)</f>
        <v/>
      </c>
      <c r="G66" s="25"/>
      <c r="H66" s="23" t="str">
        <f aca="false">IF(A66="","",D66*G66)</f>
        <v/>
      </c>
      <c r="I66" s="23" t="str">
        <f aca="false">IF(A66="","",H66-F66)</f>
        <v/>
      </c>
      <c r="J66" s="16" t="str">
        <f aca="false">IF(OR(A66="",F66=0),"",I66/F66)</f>
        <v/>
      </c>
      <c r="K66" s="11"/>
      <c r="L66" s="23"/>
      <c r="M66" s="2"/>
      <c r="N66" s="2"/>
      <c r="O66" s="2"/>
      <c r="P66" s="2"/>
    </row>
    <row r="67" customFormat="false" ht="15" hidden="false" customHeight="false" outlineLevel="0" collapsed="false">
      <c r="A67" s="2"/>
      <c r="B67" s="2"/>
      <c r="C67" s="2"/>
      <c r="D67" s="2"/>
      <c r="E67" s="25"/>
      <c r="F67" s="23" t="str">
        <f aca="false">IF(A67="","",D67*E67)</f>
        <v/>
      </c>
      <c r="G67" s="25"/>
      <c r="H67" s="23" t="str">
        <f aca="false">IF(A67="","",D67*G67)</f>
        <v/>
      </c>
      <c r="I67" s="23" t="str">
        <f aca="false">IF(A67="","",H67-F67)</f>
        <v/>
      </c>
      <c r="J67" s="16" t="str">
        <f aca="false">IF(OR(A67="",F67=0),"",I67/F67)</f>
        <v/>
      </c>
      <c r="K67" s="11"/>
      <c r="L67" s="23"/>
      <c r="M67" s="2"/>
      <c r="N67" s="2"/>
      <c r="O67" s="2"/>
      <c r="P67" s="2"/>
    </row>
    <row r="68" customFormat="false" ht="15" hidden="false" customHeight="false" outlineLevel="0" collapsed="false">
      <c r="A68" s="2"/>
      <c r="B68" s="2"/>
      <c r="C68" s="2"/>
      <c r="D68" s="2"/>
      <c r="E68" s="25"/>
      <c r="F68" s="23" t="str">
        <f aca="false">IF(A68="","",D68*E68)</f>
        <v/>
      </c>
      <c r="G68" s="25"/>
      <c r="H68" s="23" t="str">
        <f aca="false">IF(A68="","",D68*G68)</f>
        <v/>
      </c>
      <c r="I68" s="23" t="str">
        <f aca="false">IF(A68="","",H68-F68)</f>
        <v/>
      </c>
      <c r="J68" s="16" t="str">
        <f aca="false">IF(OR(A68="",F68=0),"",I68/F68)</f>
        <v/>
      </c>
      <c r="K68" s="11"/>
      <c r="L68" s="23"/>
      <c r="M68" s="2"/>
      <c r="N68" s="2"/>
      <c r="O68" s="2"/>
      <c r="P68" s="2"/>
    </row>
    <row r="69" customFormat="false" ht="15" hidden="false" customHeight="false" outlineLevel="0" collapsed="false">
      <c r="A69" s="2"/>
      <c r="B69" s="2"/>
      <c r="C69" s="2"/>
      <c r="D69" s="2"/>
      <c r="E69" s="25"/>
      <c r="F69" s="23" t="str">
        <f aca="false">IF(A69="","",D69*E69)</f>
        <v/>
      </c>
      <c r="G69" s="25"/>
      <c r="H69" s="23" t="str">
        <f aca="false">IF(A69="","",D69*G69)</f>
        <v/>
      </c>
      <c r="I69" s="23" t="str">
        <f aca="false">IF(A69="","",H69-F69)</f>
        <v/>
      </c>
      <c r="J69" s="16" t="str">
        <f aca="false">IF(OR(A69="",F69=0),"",I69/F69)</f>
        <v/>
      </c>
      <c r="K69" s="11"/>
      <c r="L69" s="23"/>
      <c r="M69" s="2"/>
      <c r="N69" s="2"/>
      <c r="O69" s="2"/>
      <c r="P69" s="2"/>
    </row>
    <row r="70" customFormat="false" ht="15" hidden="false" customHeight="false" outlineLevel="0" collapsed="false">
      <c r="A70" s="2"/>
      <c r="B70" s="2"/>
      <c r="C70" s="2"/>
      <c r="D70" s="2"/>
      <c r="E70" s="25"/>
      <c r="F70" s="23" t="str">
        <f aca="false">IF(A70="","",D70*E70)</f>
        <v/>
      </c>
      <c r="G70" s="25"/>
      <c r="H70" s="23" t="str">
        <f aca="false">IF(A70="","",D70*G70)</f>
        <v/>
      </c>
      <c r="I70" s="23" t="str">
        <f aca="false">IF(A70="","",H70-F70)</f>
        <v/>
      </c>
      <c r="J70" s="16" t="str">
        <f aca="false">IF(OR(A70="",F70=0),"",I70/F70)</f>
        <v/>
      </c>
      <c r="K70" s="11"/>
      <c r="L70" s="23"/>
      <c r="M70" s="2"/>
      <c r="N70" s="2"/>
      <c r="O70" s="2"/>
      <c r="P70" s="2"/>
    </row>
    <row r="71" customFormat="false" ht="15" hidden="false" customHeight="false" outlineLevel="0" collapsed="false">
      <c r="A71" s="2"/>
      <c r="B71" s="2"/>
      <c r="C71" s="2"/>
      <c r="D71" s="2"/>
      <c r="E71" s="25"/>
      <c r="F71" s="23" t="str">
        <f aca="false">IF(A71="","",D71*E71)</f>
        <v/>
      </c>
      <c r="G71" s="25"/>
      <c r="H71" s="23" t="str">
        <f aca="false">IF(A71="","",D71*G71)</f>
        <v/>
      </c>
      <c r="I71" s="23" t="str">
        <f aca="false">IF(A71="","",H71-F71)</f>
        <v/>
      </c>
      <c r="J71" s="16" t="str">
        <f aca="false">IF(OR(A71="",F71=0),"",I71/F71)</f>
        <v/>
      </c>
      <c r="K71" s="11"/>
      <c r="L71" s="23"/>
      <c r="M71" s="2"/>
      <c r="N71" s="2"/>
      <c r="O71" s="2"/>
      <c r="P71" s="2"/>
    </row>
    <row r="72" customFormat="false" ht="15" hidden="false" customHeight="false" outlineLevel="0" collapsed="false">
      <c r="A72" s="2"/>
      <c r="B72" s="2"/>
      <c r="C72" s="2"/>
      <c r="D72" s="2"/>
      <c r="E72" s="25"/>
      <c r="F72" s="23" t="str">
        <f aca="false">IF(A72="","",D72*E72)</f>
        <v/>
      </c>
      <c r="G72" s="25"/>
      <c r="H72" s="23" t="str">
        <f aca="false">IF(A72="","",D72*G72)</f>
        <v/>
      </c>
      <c r="I72" s="23" t="str">
        <f aca="false">IF(A72="","",H72-F72)</f>
        <v/>
      </c>
      <c r="J72" s="16" t="str">
        <f aca="false">IF(OR(A72="",F72=0),"",I72/F72)</f>
        <v/>
      </c>
      <c r="K72" s="11"/>
      <c r="L72" s="23"/>
      <c r="M72" s="2"/>
      <c r="N72" s="2"/>
      <c r="O72" s="2"/>
      <c r="P72" s="2"/>
    </row>
    <row r="73" customFormat="false" ht="15" hidden="false" customHeight="false" outlineLevel="0" collapsed="false">
      <c r="A73" s="2"/>
      <c r="B73" s="2"/>
      <c r="C73" s="2"/>
      <c r="D73" s="2"/>
      <c r="E73" s="25"/>
      <c r="F73" s="23" t="str">
        <f aca="false">IF(A73="","",D73*E73)</f>
        <v/>
      </c>
      <c r="G73" s="25"/>
      <c r="H73" s="23" t="str">
        <f aca="false">IF(A73="","",D73*G73)</f>
        <v/>
      </c>
      <c r="I73" s="23" t="str">
        <f aca="false">IF(A73="","",H73-F73)</f>
        <v/>
      </c>
      <c r="J73" s="16" t="str">
        <f aca="false">IF(OR(A73="",F73=0),"",I73/F73)</f>
        <v/>
      </c>
      <c r="K73" s="11"/>
      <c r="L73" s="23"/>
      <c r="M73" s="2"/>
      <c r="N73" s="2"/>
      <c r="O73" s="2"/>
      <c r="P73" s="2"/>
    </row>
    <row r="74" customFormat="false" ht="15" hidden="false" customHeight="false" outlineLevel="0" collapsed="false">
      <c r="A74" s="2"/>
      <c r="B74" s="2"/>
      <c r="C74" s="2"/>
      <c r="D74" s="2"/>
      <c r="E74" s="25"/>
      <c r="F74" s="23" t="str">
        <f aca="false">IF(A74="","",D74*E74)</f>
        <v/>
      </c>
      <c r="G74" s="25"/>
      <c r="H74" s="23" t="str">
        <f aca="false">IF(A74="","",D74*G74)</f>
        <v/>
      </c>
      <c r="I74" s="23" t="str">
        <f aca="false">IF(A74="","",H74-F74)</f>
        <v/>
      </c>
      <c r="J74" s="16" t="str">
        <f aca="false">IF(OR(A74="",F74=0),"",I74/F74)</f>
        <v/>
      </c>
      <c r="K74" s="11"/>
      <c r="L74" s="23"/>
      <c r="M74" s="2"/>
      <c r="N74" s="2"/>
      <c r="O74" s="2"/>
      <c r="P74" s="2"/>
    </row>
    <row r="75" customFormat="false" ht="15" hidden="false" customHeight="false" outlineLevel="0" collapsed="false">
      <c r="A75" s="2"/>
      <c r="B75" s="2"/>
      <c r="C75" s="2"/>
      <c r="D75" s="2"/>
      <c r="E75" s="25"/>
      <c r="F75" s="23" t="str">
        <f aca="false">IF(A75="","",D75*E75)</f>
        <v/>
      </c>
      <c r="G75" s="25"/>
      <c r="H75" s="23" t="str">
        <f aca="false">IF(A75="","",D75*G75)</f>
        <v/>
      </c>
      <c r="I75" s="23" t="str">
        <f aca="false">IF(A75="","",H75-F75)</f>
        <v/>
      </c>
      <c r="J75" s="16" t="str">
        <f aca="false">IF(OR(A75="",F75=0),"",I75/F75)</f>
        <v/>
      </c>
      <c r="K75" s="11"/>
      <c r="L75" s="23"/>
      <c r="M75" s="2"/>
      <c r="N75" s="2"/>
      <c r="O75" s="2"/>
      <c r="P75" s="2"/>
    </row>
    <row r="76" customFormat="false" ht="15" hidden="false" customHeight="false" outlineLevel="0" collapsed="false">
      <c r="A76" s="2"/>
      <c r="B76" s="2"/>
      <c r="C76" s="2"/>
      <c r="D76" s="2"/>
      <c r="E76" s="25"/>
      <c r="F76" s="23" t="str">
        <f aca="false">IF(A76="","",D76*E76)</f>
        <v/>
      </c>
      <c r="G76" s="25"/>
      <c r="H76" s="23" t="str">
        <f aca="false">IF(A76="","",D76*G76)</f>
        <v/>
      </c>
      <c r="I76" s="23" t="str">
        <f aca="false">IF(A76="","",H76-F76)</f>
        <v/>
      </c>
      <c r="J76" s="16" t="str">
        <f aca="false">IF(OR(A76="",F76=0),"",I76/F76)</f>
        <v/>
      </c>
      <c r="K76" s="11"/>
      <c r="L76" s="23"/>
      <c r="M76" s="2"/>
      <c r="N76" s="2"/>
      <c r="O76" s="2"/>
      <c r="P76" s="2"/>
    </row>
    <row r="77" customFormat="false" ht="15" hidden="false" customHeight="false" outlineLevel="0" collapsed="false">
      <c r="A77" s="2"/>
      <c r="B77" s="2"/>
      <c r="C77" s="2"/>
      <c r="D77" s="2"/>
      <c r="E77" s="25"/>
      <c r="F77" s="23" t="str">
        <f aca="false">IF(A77="","",D77*E77)</f>
        <v/>
      </c>
      <c r="G77" s="25"/>
      <c r="H77" s="23" t="str">
        <f aca="false">IF(A77="","",D77*G77)</f>
        <v/>
      </c>
      <c r="I77" s="23" t="str">
        <f aca="false">IF(A77="","",H77-F77)</f>
        <v/>
      </c>
      <c r="J77" s="16" t="str">
        <f aca="false">IF(OR(A77="",F77=0),"",I77/F77)</f>
        <v/>
      </c>
      <c r="K77" s="11"/>
      <c r="L77" s="23"/>
      <c r="M77" s="2"/>
      <c r="N77" s="2"/>
      <c r="O77" s="2"/>
      <c r="P77" s="2"/>
    </row>
    <row r="78" customFormat="false" ht="15" hidden="false" customHeight="false" outlineLevel="0" collapsed="false">
      <c r="A78" s="2"/>
      <c r="B78" s="2"/>
      <c r="C78" s="2"/>
      <c r="D78" s="2"/>
      <c r="E78" s="25"/>
      <c r="F78" s="23" t="str">
        <f aca="false">IF(A78="","",D78*E78)</f>
        <v/>
      </c>
      <c r="G78" s="25"/>
      <c r="H78" s="23" t="str">
        <f aca="false">IF(A78="","",D78*G78)</f>
        <v/>
      </c>
      <c r="I78" s="23" t="str">
        <f aca="false">IF(A78="","",H78-F78)</f>
        <v/>
      </c>
      <c r="J78" s="16" t="str">
        <f aca="false">IF(OR(A78="",F78=0),"",I78/F78)</f>
        <v/>
      </c>
      <c r="K78" s="11"/>
      <c r="L78" s="23"/>
      <c r="M78" s="2"/>
      <c r="N78" s="2"/>
      <c r="O78" s="2"/>
      <c r="P78" s="2"/>
    </row>
    <row r="79" customFormat="false" ht="15" hidden="false" customHeight="false" outlineLevel="0" collapsed="false">
      <c r="A79" s="2"/>
      <c r="B79" s="2"/>
      <c r="C79" s="2"/>
      <c r="D79" s="2"/>
      <c r="E79" s="25"/>
      <c r="F79" s="23" t="str">
        <f aca="false">IF(A79="","",D79*E79)</f>
        <v/>
      </c>
      <c r="G79" s="25"/>
      <c r="H79" s="23" t="str">
        <f aca="false">IF(A79="","",D79*G79)</f>
        <v/>
      </c>
      <c r="I79" s="23" t="str">
        <f aca="false">IF(A79="","",H79-F79)</f>
        <v/>
      </c>
      <c r="J79" s="16" t="str">
        <f aca="false">IF(OR(A79="",F79=0),"",I79/F79)</f>
        <v/>
      </c>
      <c r="K79" s="11"/>
      <c r="L79" s="23"/>
      <c r="M79" s="2"/>
      <c r="N79" s="2"/>
      <c r="O79" s="2"/>
      <c r="P79" s="2"/>
    </row>
    <row r="80" customFormat="false" ht="15" hidden="false" customHeight="false" outlineLevel="0" collapsed="false">
      <c r="A80" s="2"/>
      <c r="B80" s="2"/>
      <c r="C80" s="2"/>
      <c r="D80" s="2"/>
      <c r="E80" s="25"/>
      <c r="F80" s="23" t="str">
        <f aca="false">IF(A80="","",D80*E80)</f>
        <v/>
      </c>
      <c r="G80" s="25"/>
      <c r="H80" s="23" t="str">
        <f aca="false">IF(A80="","",D80*G80)</f>
        <v/>
      </c>
      <c r="I80" s="23" t="str">
        <f aca="false">IF(A80="","",H80-F80)</f>
        <v/>
      </c>
      <c r="J80" s="16" t="str">
        <f aca="false">IF(OR(A80="",F80=0),"",I80/F80)</f>
        <v/>
      </c>
      <c r="K80" s="11"/>
      <c r="L80" s="23"/>
      <c r="M80" s="2"/>
      <c r="N80" s="2"/>
      <c r="O80" s="2"/>
      <c r="P80" s="2"/>
    </row>
    <row r="81" customFormat="false" ht="15" hidden="false" customHeight="false" outlineLevel="0" collapsed="false">
      <c r="A81" s="2"/>
      <c r="B81" s="2"/>
      <c r="C81" s="2"/>
      <c r="D81" s="2"/>
      <c r="E81" s="25"/>
      <c r="F81" s="23" t="str">
        <f aca="false">IF(A81="","",D81*E81)</f>
        <v/>
      </c>
      <c r="G81" s="25"/>
      <c r="H81" s="23" t="str">
        <f aca="false">IF(A81="","",D81*G81)</f>
        <v/>
      </c>
      <c r="I81" s="23" t="str">
        <f aca="false">IF(A81="","",H81-F81)</f>
        <v/>
      </c>
      <c r="J81" s="16" t="str">
        <f aca="false">IF(OR(A81="",F81=0),"",I81/F81)</f>
        <v/>
      </c>
      <c r="K81" s="11"/>
      <c r="L81" s="23"/>
      <c r="M81" s="2"/>
      <c r="N81" s="2"/>
      <c r="O81" s="2"/>
      <c r="P81" s="2"/>
    </row>
    <row r="82" customFormat="false" ht="15" hidden="false" customHeight="false" outlineLevel="0" collapsed="false">
      <c r="A82" s="2"/>
      <c r="B82" s="2"/>
      <c r="C82" s="2"/>
      <c r="D82" s="2"/>
      <c r="E82" s="25"/>
      <c r="F82" s="23" t="str">
        <f aca="false">IF(A82="","",D82*E82)</f>
        <v/>
      </c>
      <c r="G82" s="25"/>
      <c r="H82" s="23" t="str">
        <f aca="false">IF(A82="","",D82*G82)</f>
        <v/>
      </c>
      <c r="I82" s="23" t="str">
        <f aca="false">IF(A82="","",H82-F82)</f>
        <v/>
      </c>
      <c r="J82" s="16" t="str">
        <f aca="false">IF(OR(A82="",F82=0),"",I82/F82)</f>
        <v/>
      </c>
      <c r="K82" s="11"/>
      <c r="L82" s="23"/>
      <c r="M82" s="2"/>
      <c r="N82" s="2"/>
      <c r="O82" s="2"/>
      <c r="P82" s="2"/>
    </row>
    <row r="83" customFormat="false" ht="15" hidden="false" customHeight="false" outlineLevel="0" collapsed="false">
      <c r="A83" s="2"/>
      <c r="B83" s="2"/>
      <c r="C83" s="2"/>
      <c r="D83" s="2"/>
      <c r="E83" s="25"/>
      <c r="F83" s="23" t="str">
        <f aca="false">IF(A83="","",D83*E83)</f>
        <v/>
      </c>
      <c r="G83" s="25"/>
      <c r="H83" s="23" t="str">
        <f aca="false">IF(A83="","",D83*G83)</f>
        <v/>
      </c>
      <c r="I83" s="23" t="str">
        <f aca="false">IF(A83="","",H83-F83)</f>
        <v/>
      </c>
      <c r="J83" s="16" t="str">
        <f aca="false">IF(OR(A83="",F83=0),"",I83/F83)</f>
        <v/>
      </c>
      <c r="K83" s="11"/>
      <c r="L83" s="23"/>
      <c r="M83" s="2"/>
      <c r="N83" s="2"/>
      <c r="O83" s="2"/>
      <c r="P83" s="2"/>
    </row>
    <row r="84" customFormat="false" ht="15" hidden="false" customHeight="false" outlineLevel="0" collapsed="false">
      <c r="A84" s="2"/>
      <c r="B84" s="2"/>
      <c r="C84" s="2"/>
      <c r="D84" s="2"/>
      <c r="E84" s="25"/>
      <c r="F84" s="23" t="str">
        <f aca="false">IF(A84="","",D84*E84)</f>
        <v/>
      </c>
      <c r="G84" s="25"/>
      <c r="H84" s="23" t="str">
        <f aca="false">IF(A84="","",D84*G84)</f>
        <v/>
      </c>
      <c r="I84" s="23" t="str">
        <f aca="false">IF(A84="","",H84-F84)</f>
        <v/>
      </c>
      <c r="J84" s="16" t="str">
        <f aca="false">IF(OR(A84="",F84=0),"",I84/F84)</f>
        <v/>
      </c>
      <c r="K84" s="11"/>
      <c r="L84" s="23"/>
      <c r="M84" s="2"/>
      <c r="N84" s="2"/>
      <c r="O84" s="2"/>
      <c r="P84" s="2"/>
    </row>
    <row r="85" customFormat="false" ht="15" hidden="false" customHeight="false" outlineLevel="0" collapsed="false">
      <c r="A85" s="2"/>
      <c r="B85" s="2"/>
      <c r="C85" s="2"/>
      <c r="D85" s="2"/>
      <c r="E85" s="25"/>
      <c r="F85" s="23" t="str">
        <f aca="false">IF(A85="","",D85*E85)</f>
        <v/>
      </c>
      <c r="G85" s="25"/>
      <c r="H85" s="23" t="str">
        <f aca="false">IF(A85="","",D85*G85)</f>
        <v/>
      </c>
      <c r="I85" s="23" t="str">
        <f aca="false">IF(A85="","",H85-F85)</f>
        <v/>
      </c>
      <c r="J85" s="16" t="str">
        <f aca="false">IF(OR(A85="",F85=0),"",I85/F85)</f>
        <v/>
      </c>
      <c r="K85" s="11"/>
      <c r="L85" s="23"/>
      <c r="M85" s="2"/>
      <c r="N85" s="2"/>
      <c r="O85" s="2"/>
      <c r="P85" s="2"/>
    </row>
    <row r="86" customFormat="false" ht="15" hidden="false" customHeight="false" outlineLevel="0" collapsed="false">
      <c r="A86" s="2"/>
      <c r="B86" s="2"/>
      <c r="C86" s="2"/>
      <c r="D86" s="2"/>
      <c r="E86" s="25"/>
      <c r="F86" s="23" t="str">
        <f aca="false">IF(A86="","",D86*E86)</f>
        <v/>
      </c>
      <c r="G86" s="25"/>
      <c r="H86" s="23" t="str">
        <f aca="false">IF(A86="","",D86*G86)</f>
        <v/>
      </c>
      <c r="I86" s="23" t="str">
        <f aca="false">IF(A86="","",H86-F86)</f>
        <v/>
      </c>
      <c r="J86" s="16" t="str">
        <f aca="false">IF(OR(A86="",F86=0),"",I86/F86)</f>
        <v/>
      </c>
      <c r="K86" s="11"/>
      <c r="L86" s="23"/>
      <c r="M86" s="2"/>
      <c r="N86" s="2"/>
      <c r="O86" s="2"/>
      <c r="P86" s="2"/>
    </row>
    <row r="87" customFormat="false" ht="15" hidden="false" customHeight="false" outlineLevel="0" collapsed="false">
      <c r="A87" s="2"/>
      <c r="B87" s="2"/>
      <c r="C87" s="2"/>
      <c r="D87" s="2"/>
      <c r="E87" s="25"/>
      <c r="F87" s="23" t="str">
        <f aca="false">IF(A87="","",D87*E87)</f>
        <v/>
      </c>
      <c r="G87" s="25"/>
      <c r="H87" s="23" t="str">
        <f aca="false">IF(A87="","",D87*G87)</f>
        <v/>
      </c>
      <c r="I87" s="23" t="str">
        <f aca="false">IF(A87="","",H87-F87)</f>
        <v/>
      </c>
      <c r="J87" s="16" t="str">
        <f aca="false">IF(OR(A87="",F87=0),"",I87/F87)</f>
        <v/>
      </c>
      <c r="K87" s="11"/>
      <c r="L87" s="23"/>
      <c r="M87" s="2"/>
      <c r="N87" s="2"/>
      <c r="O87" s="2"/>
      <c r="P87" s="2"/>
    </row>
    <row r="88" customFormat="false" ht="15" hidden="false" customHeight="false" outlineLevel="0" collapsed="false">
      <c r="A88" s="2"/>
      <c r="B88" s="2"/>
      <c r="C88" s="2"/>
      <c r="D88" s="2"/>
      <c r="E88" s="25"/>
      <c r="F88" s="23" t="str">
        <f aca="false">IF(A88="","",D88*E88)</f>
        <v/>
      </c>
      <c r="G88" s="25"/>
      <c r="H88" s="23" t="str">
        <f aca="false">IF(A88="","",D88*G88)</f>
        <v/>
      </c>
      <c r="I88" s="23" t="str">
        <f aca="false">IF(A88="","",H88-F88)</f>
        <v/>
      </c>
      <c r="J88" s="16" t="str">
        <f aca="false">IF(OR(A88="",F88=0),"",I88/F88)</f>
        <v/>
      </c>
      <c r="K88" s="11"/>
      <c r="L88" s="23"/>
      <c r="M88" s="2"/>
      <c r="N88" s="2"/>
      <c r="O88" s="2"/>
      <c r="P88" s="2"/>
    </row>
    <row r="89" customFormat="false" ht="15" hidden="false" customHeight="false" outlineLevel="0" collapsed="false">
      <c r="A89" s="2"/>
      <c r="B89" s="2"/>
      <c r="C89" s="2"/>
      <c r="D89" s="2"/>
      <c r="E89" s="25"/>
      <c r="F89" s="23" t="str">
        <f aca="false">IF(A89="","",D89*E89)</f>
        <v/>
      </c>
      <c r="G89" s="25"/>
      <c r="H89" s="23" t="str">
        <f aca="false">IF(A89="","",D89*G89)</f>
        <v/>
      </c>
      <c r="I89" s="23" t="str">
        <f aca="false">IF(A89="","",H89-F89)</f>
        <v/>
      </c>
      <c r="J89" s="16" t="str">
        <f aca="false">IF(OR(A89="",F89=0),"",I89/F89)</f>
        <v/>
      </c>
      <c r="K89" s="11"/>
      <c r="L89" s="23"/>
      <c r="M89" s="2"/>
      <c r="N89" s="2"/>
      <c r="O89" s="2"/>
      <c r="P89" s="2"/>
    </row>
    <row r="90" customFormat="false" ht="15" hidden="false" customHeight="false" outlineLevel="0" collapsed="false">
      <c r="A90" s="2"/>
      <c r="B90" s="2"/>
      <c r="C90" s="2"/>
      <c r="D90" s="2"/>
      <c r="E90" s="25"/>
      <c r="F90" s="23" t="str">
        <f aca="false">IF(A90="","",D90*E90)</f>
        <v/>
      </c>
      <c r="G90" s="25"/>
      <c r="H90" s="23" t="str">
        <f aca="false">IF(A90="","",D90*G90)</f>
        <v/>
      </c>
      <c r="I90" s="23" t="str">
        <f aca="false">IF(A90="","",H90-F90)</f>
        <v/>
      </c>
      <c r="J90" s="16" t="str">
        <f aca="false">IF(OR(A90="",F90=0),"",I90/F90)</f>
        <v/>
      </c>
      <c r="K90" s="11"/>
      <c r="L90" s="23"/>
      <c r="M90" s="2"/>
      <c r="N90" s="2"/>
      <c r="O90" s="2"/>
      <c r="P90" s="2"/>
    </row>
    <row r="91" customFormat="false" ht="15" hidden="false" customHeight="false" outlineLevel="0" collapsed="false">
      <c r="A91" s="2"/>
      <c r="B91" s="2"/>
      <c r="C91" s="2"/>
      <c r="D91" s="2"/>
      <c r="E91" s="25"/>
      <c r="F91" s="23" t="str">
        <f aca="false">IF(A91="","",D91*E91)</f>
        <v/>
      </c>
      <c r="G91" s="25"/>
      <c r="H91" s="23" t="str">
        <f aca="false">IF(A91="","",D91*G91)</f>
        <v/>
      </c>
      <c r="I91" s="23" t="str">
        <f aca="false">IF(A91="","",H91-F91)</f>
        <v/>
      </c>
      <c r="J91" s="16" t="str">
        <f aca="false">IF(OR(A91="",F91=0),"",I91/F91)</f>
        <v/>
      </c>
      <c r="K91" s="11"/>
      <c r="L91" s="23"/>
      <c r="M91" s="2"/>
      <c r="N91" s="2"/>
      <c r="O91" s="2"/>
      <c r="P91" s="2"/>
    </row>
    <row r="92" customFormat="false" ht="15" hidden="false" customHeight="false" outlineLevel="0" collapsed="false">
      <c r="A92" s="2"/>
      <c r="B92" s="2"/>
      <c r="C92" s="2"/>
      <c r="D92" s="2"/>
      <c r="E92" s="25"/>
      <c r="F92" s="23" t="str">
        <f aca="false">IF(A92="","",D92*E92)</f>
        <v/>
      </c>
      <c r="G92" s="25"/>
      <c r="H92" s="23" t="str">
        <f aca="false">IF(A92="","",D92*G92)</f>
        <v/>
      </c>
      <c r="I92" s="23" t="str">
        <f aca="false">IF(A92="","",H92-F92)</f>
        <v/>
      </c>
      <c r="J92" s="16" t="str">
        <f aca="false">IF(OR(A92="",F92=0),"",I92/F92)</f>
        <v/>
      </c>
      <c r="K92" s="11"/>
      <c r="L92" s="23"/>
      <c r="M92" s="2"/>
      <c r="N92" s="2"/>
      <c r="O92" s="2"/>
      <c r="P92" s="2"/>
    </row>
    <row r="93" customFormat="false" ht="15" hidden="false" customHeight="false" outlineLevel="0" collapsed="false">
      <c r="A93" s="2"/>
      <c r="B93" s="2"/>
      <c r="C93" s="2"/>
      <c r="D93" s="2"/>
      <c r="E93" s="25"/>
      <c r="F93" s="23" t="str">
        <f aca="false">IF(A93="","",D93*E93)</f>
        <v/>
      </c>
      <c r="G93" s="25"/>
      <c r="H93" s="23" t="str">
        <f aca="false">IF(A93="","",D93*G93)</f>
        <v/>
      </c>
      <c r="I93" s="23" t="str">
        <f aca="false">IF(A93="","",H93-F93)</f>
        <v/>
      </c>
      <c r="J93" s="16" t="str">
        <f aca="false">IF(OR(A93="",F93=0),"",I93/F93)</f>
        <v/>
      </c>
      <c r="K93" s="11"/>
      <c r="L93" s="23"/>
      <c r="M93" s="2"/>
      <c r="N93" s="2"/>
      <c r="O93" s="2"/>
      <c r="P93" s="2"/>
    </row>
    <row r="94" customFormat="false" ht="15" hidden="false" customHeight="false" outlineLevel="0" collapsed="false">
      <c r="A94" s="2"/>
      <c r="B94" s="2"/>
      <c r="C94" s="2"/>
      <c r="D94" s="2"/>
      <c r="E94" s="25"/>
      <c r="F94" s="23" t="str">
        <f aca="false">IF(A94="","",D94*E94)</f>
        <v/>
      </c>
      <c r="G94" s="25"/>
      <c r="H94" s="23" t="str">
        <f aca="false">IF(A94="","",D94*G94)</f>
        <v/>
      </c>
      <c r="I94" s="23" t="str">
        <f aca="false">IF(A94="","",H94-F94)</f>
        <v/>
      </c>
      <c r="J94" s="16" t="str">
        <f aca="false">IF(OR(A94="",F94=0),"",I94/F94)</f>
        <v/>
      </c>
      <c r="K94" s="11"/>
      <c r="L94" s="23"/>
      <c r="M94" s="2"/>
      <c r="N94" s="2"/>
      <c r="O94" s="2"/>
      <c r="P94" s="2"/>
    </row>
    <row r="95" customFormat="false" ht="15" hidden="false" customHeight="false" outlineLevel="0" collapsed="false">
      <c r="A95" s="2"/>
      <c r="B95" s="2"/>
      <c r="C95" s="2"/>
      <c r="D95" s="2"/>
      <c r="E95" s="25"/>
      <c r="F95" s="23" t="str">
        <f aca="false">IF(A95="","",D95*E95)</f>
        <v/>
      </c>
      <c r="G95" s="25"/>
      <c r="H95" s="23" t="str">
        <f aca="false">IF(A95="","",D95*G95)</f>
        <v/>
      </c>
      <c r="I95" s="23" t="str">
        <f aca="false">IF(A95="","",H95-F95)</f>
        <v/>
      </c>
      <c r="J95" s="16" t="str">
        <f aca="false">IF(OR(A95="",F95=0),"",I95/F95)</f>
        <v/>
      </c>
      <c r="K95" s="11"/>
      <c r="L95" s="23"/>
      <c r="M95" s="2"/>
      <c r="N95" s="2"/>
      <c r="O95" s="2"/>
      <c r="P95" s="2"/>
    </row>
    <row r="96" customFormat="false" ht="15" hidden="false" customHeight="false" outlineLevel="0" collapsed="false">
      <c r="A96" s="2"/>
      <c r="B96" s="2"/>
      <c r="C96" s="2"/>
      <c r="D96" s="2"/>
      <c r="E96" s="25"/>
      <c r="F96" s="23" t="str">
        <f aca="false">IF(A96="","",D96*E96)</f>
        <v/>
      </c>
      <c r="G96" s="25"/>
      <c r="H96" s="23" t="str">
        <f aca="false">IF(A96="","",D96*G96)</f>
        <v/>
      </c>
      <c r="I96" s="23" t="str">
        <f aca="false">IF(A96="","",H96-F96)</f>
        <v/>
      </c>
      <c r="J96" s="16" t="str">
        <f aca="false">IF(OR(A96="",F96=0),"",I96/F96)</f>
        <v/>
      </c>
      <c r="K96" s="11"/>
      <c r="L96" s="23"/>
      <c r="M96" s="2"/>
      <c r="N96" s="2"/>
      <c r="O96" s="2"/>
      <c r="P96" s="2"/>
    </row>
    <row r="97" customFormat="false" ht="15" hidden="false" customHeight="false" outlineLevel="0" collapsed="false">
      <c r="A97" s="2"/>
      <c r="B97" s="2"/>
      <c r="C97" s="2"/>
      <c r="D97" s="2"/>
      <c r="E97" s="25"/>
      <c r="F97" s="23" t="str">
        <f aca="false">IF(A97="","",D97*E97)</f>
        <v/>
      </c>
      <c r="G97" s="25"/>
      <c r="H97" s="23" t="str">
        <f aca="false">IF(A97="","",D97*G97)</f>
        <v/>
      </c>
      <c r="I97" s="23" t="str">
        <f aca="false">IF(A97="","",H97-F97)</f>
        <v/>
      </c>
      <c r="J97" s="16" t="str">
        <f aca="false">IF(OR(A97="",F97=0),"",I97/F97)</f>
        <v/>
      </c>
      <c r="K97" s="11"/>
      <c r="L97" s="23"/>
      <c r="M97" s="2"/>
      <c r="N97" s="2"/>
      <c r="O97" s="2"/>
      <c r="P97" s="2"/>
    </row>
    <row r="98" customFormat="false" ht="15" hidden="false" customHeight="false" outlineLevel="0" collapsed="false">
      <c r="A98" s="2"/>
      <c r="B98" s="2"/>
      <c r="C98" s="2"/>
      <c r="D98" s="2"/>
      <c r="E98" s="25"/>
      <c r="F98" s="23" t="str">
        <f aca="false">IF(A98="","",D98*E98)</f>
        <v/>
      </c>
      <c r="G98" s="25"/>
      <c r="H98" s="23" t="str">
        <f aca="false">IF(A98="","",D98*G98)</f>
        <v/>
      </c>
      <c r="I98" s="23" t="str">
        <f aca="false">IF(A98="","",H98-F98)</f>
        <v/>
      </c>
      <c r="J98" s="16" t="str">
        <f aca="false">IF(OR(A98="",F98=0),"",I98/F98)</f>
        <v/>
      </c>
      <c r="K98" s="11"/>
      <c r="L98" s="23"/>
      <c r="M98" s="2"/>
      <c r="N98" s="2"/>
      <c r="O98" s="2"/>
      <c r="P98" s="2"/>
    </row>
    <row r="99" customFormat="false" ht="15" hidden="false" customHeight="false" outlineLevel="0" collapsed="false">
      <c r="A99" s="2"/>
      <c r="B99" s="2"/>
      <c r="C99" s="2"/>
      <c r="D99" s="2"/>
      <c r="E99" s="25"/>
      <c r="F99" s="23" t="str">
        <f aca="false">IF(A99="","",D99*E99)</f>
        <v/>
      </c>
      <c r="G99" s="25"/>
      <c r="H99" s="23" t="str">
        <f aca="false">IF(A99="","",D99*G99)</f>
        <v/>
      </c>
      <c r="I99" s="23" t="str">
        <f aca="false">IF(A99="","",H99-F99)</f>
        <v/>
      </c>
      <c r="J99" s="16" t="str">
        <f aca="false">IF(OR(A99="",F99=0),"",I99/F99)</f>
        <v/>
      </c>
      <c r="K99" s="11"/>
      <c r="L99" s="23"/>
      <c r="M99" s="2"/>
      <c r="N99" s="2"/>
      <c r="O99" s="2"/>
      <c r="P99" s="2"/>
    </row>
    <row r="100" customFormat="false" ht="15" hidden="false" customHeight="false" outlineLevel="0" collapsed="false">
      <c r="A100" s="2"/>
      <c r="B100" s="2"/>
      <c r="C100" s="2"/>
      <c r="D100" s="2"/>
      <c r="E100" s="25"/>
      <c r="F100" s="23" t="str">
        <f aca="false">IF(A100="","",D100*E100)</f>
        <v/>
      </c>
      <c r="G100" s="25"/>
      <c r="H100" s="23" t="str">
        <f aca="false">IF(A100="","",D100*G100)</f>
        <v/>
      </c>
      <c r="I100" s="23" t="str">
        <f aca="false">IF(A100="","",H100-F100)</f>
        <v/>
      </c>
      <c r="J100" s="16" t="str">
        <f aca="false">IF(OR(A100="",F100=0),"",I100/F100)</f>
        <v/>
      </c>
      <c r="K100" s="11"/>
      <c r="L100" s="23"/>
      <c r="M100" s="2"/>
      <c r="N100" s="2"/>
      <c r="O100" s="2"/>
      <c r="P100" s="2"/>
    </row>
    <row r="101" customFormat="false" ht="15" hidden="false" customHeight="false" outlineLevel="0" collapsed="false">
      <c r="A101" s="2"/>
      <c r="B101" s="2"/>
      <c r="C101" s="2"/>
      <c r="D101" s="2"/>
      <c r="E101" s="25"/>
      <c r="F101" s="23" t="str">
        <f aca="false">IF(A101="","",D101*E101)</f>
        <v/>
      </c>
      <c r="G101" s="25"/>
      <c r="H101" s="23" t="str">
        <f aca="false">IF(A101="","",D101*G101)</f>
        <v/>
      </c>
      <c r="I101" s="23" t="str">
        <f aca="false">IF(A101="","",H101-F101)</f>
        <v/>
      </c>
      <c r="J101" s="16" t="str">
        <f aca="false">IF(OR(A101="",F101=0),"",I101/F101)</f>
        <v/>
      </c>
      <c r="K101" s="11"/>
      <c r="L101" s="23"/>
      <c r="M101" s="2"/>
      <c r="N101" s="2"/>
      <c r="O101" s="2"/>
      <c r="P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customFormat="false" ht="15" hidden="false" customHeight="false" outlineLevel="0" collapsed="false">
      <c r="A103" s="4" t="s">
        <v>245</v>
      </c>
      <c r="B103" s="2"/>
      <c r="C103" s="2"/>
      <c r="D103" s="2"/>
      <c r="E103" s="2"/>
      <c r="F103" s="14" t="n">
        <f aca="false">SUM(F2:F101)</f>
        <v>2957.25</v>
      </c>
      <c r="G103" s="2"/>
      <c r="H103" s="14" t="n">
        <f aca="false">SUM(H2:H101)</f>
        <v>3040</v>
      </c>
      <c r="I103" s="14" t="n">
        <f aca="false">SUM(I2:I101)</f>
        <v>82.75</v>
      </c>
      <c r="J103" s="16" t="n">
        <f aca="false">IF(F103=0,0,I103/F103)</f>
        <v>0.0279820779440358</v>
      </c>
      <c r="K103" s="2"/>
      <c r="L103" s="2"/>
      <c r="M103" s="2"/>
      <c r="N103" s="2"/>
      <c r="O103" s="2"/>
      <c r="P103" s="2"/>
    </row>
  </sheetData>
  <dataValidations count="3">
    <dataValidation allowBlank="true" error="Pick a value from the dropdown list." errorStyle="stop" errorTitle="Invalid value" operator="between" showDropDown="false" showErrorMessage="true" showInputMessage="false" sqref="B2:B101" type="list">
      <formula1>Lists!$L$2:$L$9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N2:N101" type="list">
      <formula1>Lists!$M$2:$M$3</formula1>
      <formula2>0</formula2>
    </dataValidation>
    <dataValidation allowBlank="true" error="Pick a value from the dropdown list." errorStyle="stop" errorTitle="Invalid value" operator="between" showDropDown="false" showErrorMessage="true" showInputMessage="false" sqref="O2:O101" type="list">
      <formula1>Lists!$D$2:$D$6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13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6" t="s">
        <v>298</v>
      </c>
      <c r="B1" s="6" t="s">
        <v>299</v>
      </c>
      <c r="C1" s="6" t="s">
        <v>300</v>
      </c>
      <c r="D1" s="6" t="s">
        <v>301</v>
      </c>
      <c r="E1" s="6" t="s">
        <v>302</v>
      </c>
      <c r="F1" s="6" t="s">
        <v>303</v>
      </c>
      <c r="G1" s="6" t="s">
        <v>304</v>
      </c>
      <c r="H1" s="6" t="s">
        <v>305</v>
      </c>
      <c r="I1" s="6" t="s">
        <v>306</v>
      </c>
      <c r="J1" s="6" t="s">
        <v>148</v>
      </c>
    </row>
    <row r="2" customFormat="false" ht="15" hidden="false" customHeight="false" outlineLevel="0" collapsed="false">
      <c r="A2" s="17" t="s">
        <v>307</v>
      </c>
      <c r="B2" s="17" t="s">
        <v>308</v>
      </c>
      <c r="C2" s="22" t="n">
        <v>150000</v>
      </c>
      <c r="D2" s="22" t="n">
        <v>20000</v>
      </c>
      <c r="E2" s="18" t="n">
        <v>46752</v>
      </c>
      <c r="F2" s="17" t="s">
        <v>309</v>
      </c>
      <c r="G2" s="2" t="n">
        <f aca="true">IF(A2="","",MAX(0,(YEAR(E2)-YEAR(TODAY()))*12+MONTH(E2)-MONTH(TODAY())))</f>
        <v>14</v>
      </c>
      <c r="H2" s="13" t="n">
        <f aca="false">IF(A2="","",IF(G2=0,MAX(0,C2-D2),MAX(0,C2-D2)/G2))</f>
        <v>9285.71428571429</v>
      </c>
      <c r="I2" s="16" t="n">
        <f aca="false">IF(OR(A2="",C2=0),"",MIN(1,D2/C2))</f>
        <v>0.133333333333333</v>
      </c>
      <c r="J2" s="17" t="s">
        <v>275</v>
      </c>
    </row>
    <row r="3" customFormat="false" ht="15" hidden="false" customHeight="false" outlineLevel="0" collapsed="false">
      <c r="A3" s="17" t="s">
        <v>310</v>
      </c>
      <c r="B3" s="17" t="s">
        <v>311</v>
      </c>
      <c r="C3" s="22" t="n">
        <v>200000</v>
      </c>
      <c r="D3" s="22" t="n">
        <v>15000</v>
      </c>
      <c r="E3" s="18" t="n">
        <v>46934</v>
      </c>
      <c r="F3" s="17" t="s">
        <v>312</v>
      </c>
      <c r="G3" s="2" t="n">
        <f aca="true">IF(A3="","",MAX(0,(YEAR(E3)-YEAR(TODAY()))*12+MONTH(E3)-MONTH(TODAY())))</f>
        <v>20</v>
      </c>
      <c r="H3" s="13" t="n">
        <f aca="false">IF(A3="","",IF(G3=0,MAX(0,C3-D3),MAX(0,C3-D3)/G3))</f>
        <v>9250</v>
      </c>
      <c r="I3" s="16" t="n">
        <f aca="false">IF(OR(A3="",C3=0),"",MIN(1,D3/C3))</f>
        <v>0.075</v>
      </c>
      <c r="J3" s="17" t="s">
        <v>275</v>
      </c>
    </row>
    <row r="4" customFormat="false" ht="15" hidden="false" customHeight="false" outlineLevel="0" collapsed="false">
      <c r="A4" s="2"/>
      <c r="B4" s="2"/>
      <c r="C4" s="13"/>
      <c r="D4" s="13"/>
      <c r="E4" s="11"/>
      <c r="F4" s="2"/>
      <c r="G4" s="2" t="str">
        <f aca="true">IF(A4="","",MAX(0,(YEAR(E4)-YEAR(TODAY()))*12+MONTH(E4)-MONTH(TODAY())))</f>
        <v/>
      </c>
      <c r="H4" s="13" t="str">
        <f aca="false">IF(A4="","",IF(G4=0,MAX(0,C4-D4),MAX(0,C4-D4)/G4))</f>
        <v/>
      </c>
      <c r="I4" s="16" t="str">
        <f aca="false">IF(OR(A4="",C4=0),"",MIN(1,D4/C4))</f>
        <v/>
      </c>
      <c r="J4" s="2"/>
    </row>
    <row r="5" customFormat="false" ht="15" hidden="false" customHeight="false" outlineLevel="0" collapsed="false">
      <c r="A5" s="2"/>
      <c r="B5" s="2"/>
      <c r="C5" s="13"/>
      <c r="D5" s="13"/>
      <c r="E5" s="11"/>
      <c r="F5" s="2"/>
      <c r="G5" s="2" t="str">
        <f aca="true">IF(A5="","",MAX(0,(YEAR(E5)-YEAR(TODAY()))*12+MONTH(E5)-MONTH(TODAY())))</f>
        <v/>
      </c>
      <c r="H5" s="13" t="str">
        <f aca="false">IF(A5="","",IF(G5=0,MAX(0,C5-D5),MAX(0,C5-D5)/G5))</f>
        <v/>
      </c>
      <c r="I5" s="16" t="str">
        <f aca="false">IF(OR(A5="",C5=0),"",MIN(1,D5/C5))</f>
        <v/>
      </c>
      <c r="J5" s="2"/>
    </row>
    <row r="6" customFormat="false" ht="15" hidden="false" customHeight="false" outlineLevel="0" collapsed="false">
      <c r="A6" s="2"/>
      <c r="B6" s="2"/>
      <c r="C6" s="13"/>
      <c r="D6" s="13"/>
      <c r="E6" s="11"/>
      <c r="F6" s="2"/>
      <c r="G6" s="2" t="str">
        <f aca="true">IF(A6="","",MAX(0,(YEAR(E6)-YEAR(TODAY()))*12+MONTH(E6)-MONTH(TODAY())))</f>
        <v/>
      </c>
      <c r="H6" s="13" t="str">
        <f aca="false">IF(A6="","",IF(G6=0,MAX(0,C6-D6),MAX(0,C6-D6)/G6))</f>
        <v/>
      </c>
      <c r="I6" s="16" t="str">
        <f aca="false">IF(OR(A6="",C6=0),"",MIN(1,D6/C6))</f>
        <v/>
      </c>
      <c r="J6" s="2"/>
    </row>
    <row r="7" customFormat="false" ht="15" hidden="false" customHeight="false" outlineLevel="0" collapsed="false">
      <c r="A7" s="2"/>
      <c r="B7" s="2"/>
      <c r="C7" s="13"/>
      <c r="D7" s="13"/>
      <c r="E7" s="11"/>
      <c r="F7" s="2"/>
      <c r="G7" s="2" t="str">
        <f aca="true">IF(A7="","",MAX(0,(YEAR(E7)-YEAR(TODAY()))*12+MONTH(E7)-MONTH(TODAY())))</f>
        <v/>
      </c>
      <c r="H7" s="13" t="str">
        <f aca="false">IF(A7="","",IF(G7=0,MAX(0,C7-D7),MAX(0,C7-D7)/G7))</f>
        <v/>
      </c>
      <c r="I7" s="16" t="str">
        <f aca="false">IF(OR(A7="",C7=0),"",MIN(1,D7/C7))</f>
        <v/>
      </c>
      <c r="J7" s="2"/>
    </row>
    <row r="8" customFormat="false" ht="15" hidden="false" customHeight="false" outlineLevel="0" collapsed="false">
      <c r="A8" s="2"/>
      <c r="B8" s="2"/>
      <c r="C8" s="13"/>
      <c r="D8" s="13"/>
      <c r="E8" s="11"/>
      <c r="F8" s="2"/>
      <c r="G8" s="2" t="str">
        <f aca="true">IF(A8="","",MAX(0,(YEAR(E8)-YEAR(TODAY()))*12+MONTH(E8)-MONTH(TODAY())))</f>
        <v/>
      </c>
      <c r="H8" s="13" t="str">
        <f aca="false">IF(A8="","",IF(G8=0,MAX(0,C8-D8),MAX(0,C8-D8)/G8))</f>
        <v/>
      </c>
      <c r="I8" s="16" t="str">
        <f aca="false">IF(OR(A8="",C8=0),"",MIN(1,D8/C8))</f>
        <v/>
      </c>
      <c r="J8" s="2"/>
    </row>
    <row r="9" customFormat="false" ht="15" hidden="false" customHeight="false" outlineLevel="0" collapsed="false">
      <c r="A9" s="2"/>
      <c r="B9" s="2"/>
      <c r="C9" s="13"/>
      <c r="D9" s="13"/>
      <c r="E9" s="11"/>
      <c r="F9" s="2"/>
      <c r="G9" s="2" t="str">
        <f aca="true">IF(A9="","",MAX(0,(YEAR(E9)-YEAR(TODAY()))*12+MONTH(E9)-MONTH(TODAY())))</f>
        <v/>
      </c>
      <c r="H9" s="13" t="str">
        <f aca="false">IF(A9="","",IF(G9=0,MAX(0,C9-D9),MAX(0,C9-D9)/G9))</f>
        <v/>
      </c>
      <c r="I9" s="16" t="str">
        <f aca="false">IF(OR(A9="",C9=0),"",MIN(1,D9/C9))</f>
        <v/>
      </c>
      <c r="J9" s="2"/>
    </row>
    <row r="10" customFormat="false" ht="15" hidden="false" customHeight="false" outlineLevel="0" collapsed="false">
      <c r="A10" s="2"/>
      <c r="B10" s="2"/>
      <c r="C10" s="13"/>
      <c r="D10" s="13"/>
      <c r="E10" s="11"/>
      <c r="F10" s="2"/>
      <c r="G10" s="2" t="str">
        <f aca="true">IF(A10="","",MAX(0,(YEAR(E10)-YEAR(TODAY()))*12+MONTH(E10)-MONTH(TODAY())))</f>
        <v/>
      </c>
      <c r="H10" s="13" t="str">
        <f aca="false">IF(A10="","",IF(G10=0,MAX(0,C10-D10),MAX(0,C10-D10)/G10))</f>
        <v/>
      </c>
      <c r="I10" s="16" t="str">
        <f aca="false">IF(OR(A10="",C10=0),"",MIN(1,D10/C10))</f>
        <v/>
      </c>
      <c r="J10" s="2"/>
    </row>
    <row r="11" customFormat="false" ht="15" hidden="false" customHeight="false" outlineLevel="0" collapsed="false">
      <c r="A11" s="2"/>
      <c r="B11" s="2"/>
      <c r="C11" s="13"/>
      <c r="D11" s="13"/>
      <c r="E11" s="11"/>
      <c r="F11" s="2"/>
      <c r="G11" s="2" t="str">
        <f aca="true">IF(A11="","",MAX(0,(YEAR(E11)-YEAR(TODAY()))*12+MONTH(E11)-MONTH(TODAY())))</f>
        <v/>
      </c>
      <c r="H11" s="13" t="str">
        <f aca="false">IF(A11="","",IF(G11=0,MAX(0,C11-D11),MAX(0,C11-D11)/G11))</f>
        <v/>
      </c>
      <c r="I11" s="16" t="str">
        <f aca="false">IF(OR(A11="",C11=0),"",MIN(1,D11/C11))</f>
        <v/>
      </c>
      <c r="J11" s="2"/>
    </row>
    <row r="12" customFormat="false" ht="15" hidden="false" customHeight="false" outlineLevel="0" collapsed="false">
      <c r="A12" s="2"/>
      <c r="B12" s="2"/>
      <c r="C12" s="13"/>
      <c r="D12" s="13"/>
      <c r="E12" s="11"/>
      <c r="F12" s="2"/>
      <c r="G12" s="2" t="str">
        <f aca="true">IF(A12="","",MAX(0,(YEAR(E12)-YEAR(TODAY()))*12+MONTH(E12)-MONTH(TODAY())))</f>
        <v/>
      </c>
      <c r="H12" s="13" t="str">
        <f aca="false">IF(A12="","",IF(G12=0,MAX(0,C12-D12),MAX(0,C12-D12)/G12))</f>
        <v/>
      </c>
      <c r="I12" s="16" t="str">
        <f aca="false">IF(OR(A12="",C12=0),"",MIN(1,D12/C12))</f>
        <v/>
      </c>
      <c r="J12" s="2"/>
    </row>
    <row r="13" customFormat="false" ht="15" hidden="false" customHeight="false" outlineLevel="0" collapsed="false">
      <c r="A13" s="2"/>
      <c r="B13" s="2"/>
      <c r="C13" s="13"/>
      <c r="D13" s="13"/>
      <c r="E13" s="11"/>
      <c r="F13" s="2"/>
      <c r="G13" s="2" t="str">
        <f aca="true">IF(A13="","",MAX(0,(YEAR(E13)-YEAR(TODAY()))*12+MONTH(E13)-MONTH(TODAY())))</f>
        <v/>
      </c>
      <c r="H13" s="13" t="str">
        <f aca="false">IF(A13="","",IF(G13=0,MAX(0,C13-D13),MAX(0,C13-D13)/G13))</f>
        <v/>
      </c>
      <c r="I13" s="16" t="str">
        <f aca="false">IF(OR(A13="",C13=0),"",MIN(1,D13/C13))</f>
        <v/>
      </c>
      <c r="J13" s="2"/>
    </row>
    <row r="14" customFormat="false" ht="15" hidden="false" customHeight="false" outlineLevel="0" collapsed="false">
      <c r="A14" s="2"/>
      <c r="B14" s="2"/>
      <c r="C14" s="13"/>
      <c r="D14" s="13"/>
      <c r="E14" s="11"/>
      <c r="F14" s="2"/>
      <c r="G14" s="2" t="str">
        <f aca="true">IF(A14="","",MAX(0,(YEAR(E14)-YEAR(TODAY()))*12+MONTH(E14)-MONTH(TODAY())))</f>
        <v/>
      </c>
      <c r="H14" s="13" t="str">
        <f aca="false">IF(A14="","",IF(G14=0,MAX(0,C14-D14),MAX(0,C14-D14)/G14))</f>
        <v/>
      </c>
      <c r="I14" s="16" t="str">
        <f aca="false">IF(OR(A14="",C14=0),"",MIN(1,D14/C14))</f>
        <v/>
      </c>
      <c r="J14" s="2"/>
    </row>
    <row r="15" customFormat="false" ht="15" hidden="false" customHeight="false" outlineLevel="0" collapsed="false">
      <c r="A15" s="2"/>
      <c r="B15" s="2"/>
      <c r="C15" s="13"/>
      <c r="D15" s="13"/>
      <c r="E15" s="11"/>
      <c r="F15" s="2"/>
      <c r="G15" s="2" t="str">
        <f aca="true">IF(A15="","",MAX(0,(YEAR(E15)-YEAR(TODAY()))*12+MONTH(E15)-MONTH(TODAY())))</f>
        <v/>
      </c>
      <c r="H15" s="13" t="str">
        <f aca="false">IF(A15="","",IF(G15=0,MAX(0,C15-D15),MAX(0,C15-D15)/G15))</f>
        <v/>
      </c>
      <c r="I15" s="16" t="str">
        <f aca="false">IF(OR(A15="",C15=0),"",MIN(1,D15/C15))</f>
        <v/>
      </c>
      <c r="J15" s="2"/>
    </row>
    <row r="16" customFormat="false" ht="15" hidden="false" customHeight="false" outlineLevel="0" collapsed="false">
      <c r="A16" s="2"/>
      <c r="B16" s="2"/>
      <c r="C16" s="13"/>
      <c r="D16" s="13"/>
      <c r="E16" s="11"/>
      <c r="F16" s="2"/>
      <c r="G16" s="2" t="str">
        <f aca="true">IF(A16="","",MAX(0,(YEAR(E16)-YEAR(TODAY()))*12+MONTH(E16)-MONTH(TODAY())))</f>
        <v/>
      </c>
      <c r="H16" s="13" t="str">
        <f aca="false">IF(A16="","",IF(G16=0,MAX(0,C16-D16),MAX(0,C16-D16)/G16))</f>
        <v/>
      </c>
      <c r="I16" s="16" t="str">
        <f aca="false">IF(OR(A16="",C16=0),"",MIN(1,D16/C16))</f>
        <v/>
      </c>
      <c r="J16" s="2"/>
    </row>
    <row r="17" customFormat="false" ht="15" hidden="false" customHeight="false" outlineLevel="0" collapsed="false">
      <c r="A17" s="2"/>
      <c r="B17" s="2"/>
      <c r="C17" s="13"/>
      <c r="D17" s="13"/>
      <c r="E17" s="11"/>
      <c r="F17" s="2"/>
      <c r="G17" s="2" t="str">
        <f aca="true">IF(A17="","",MAX(0,(YEAR(E17)-YEAR(TODAY()))*12+MONTH(E17)-MONTH(TODAY())))</f>
        <v/>
      </c>
      <c r="H17" s="13" t="str">
        <f aca="false">IF(A17="","",IF(G17=0,MAX(0,C17-D17),MAX(0,C17-D17)/G17))</f>
        <v/>
      </c>
      <c r="I17" s="16" t="str">
        <f aca="false">IF(OR(A17="",C17=0),"",MIN(1,D17/C17))</f>
        <v/>
      </c>
      <c r="J17" s="2"/>
    </row>
    <row r="18" customFormat="false" ht="15" hidden="false" customHeight="false" outlineLevel="0" collapsed="false">
      <c r="A18" s="2"/>
      <c r="B18" s="2"/>
      <c r="C18" s="13"/>
      <c r="D18" s="13"/>
      <c r="E18" s="11"/>
      <c r="F18" s="2"/>
      <c r="G18" s="2" t="str">
        <f aca="true">IF(A18="","",MAX(0,(YEAR(E18)-YEAR(TODAY()))*12+MONTH(E18)-MONTH(TODAY())))</f>
        <v/>
      </c>
      <c r="H18" s="13" t="str">
        <f aca="false">IF(A18="","",IF(G18=0,MAX(0,C18-D18),MAX(0,C18-D18)/G18))</f>
        <v/>
      </c>
      <c r="I18" s="16" t="str">
        <f aca="false">IF(OR(A18="",C18=0),"",MIN(1,D18/C18))</f>
        <v/>
      </c>
      <c r="J18" s="2"/>
    </row>
    <row r="19" customFormat="false" ht="15" hidden="false" customHeight="false" outlineLevel="0" collapsed="false">
      <c r="A19" s="2"/>
      <c r="B19" s="2"/>
      <c r="C19" s="13"/>
      <c r="D19" s="13"/>
      <c r="E19" s="11"/>
      <c r="F19" s="2"/>
      <c r="G19" s="2" t="str">
        <f aca="true">IF(A19="","",MAX(0,(YEAR(E19)-YEAR(TODAY()))*12+MONTH(E19)-MONTH(TODAY())))</f>
        <v/>
      </c>
      <c r="H19" s="13" t="str">
        <f aca="false">IF(A19="","",IF(G19=0,MAX(0,C19-D19),MAX(0,C19-D19)/G19))</f>
        <v/>
      </c>
      <c r="I19" s="16" t="str">
        <f aca="false">IF(OR(A19="",C19=0),"",MIN(1,D19/C19))</f>
        <v/>
      </c>
      <c r="J19" s="2"/>
    </row>
    <row r="20" customFormat="false" ht="15" hidden="false" customHeight="false" outlineLevel="0" collapsed="false">
      <c r="A20" s="2"/>
      <c r="B20" s="2"/>
      <c r="C20" s="13"/>
      <c r="D20" s="13"/>
      <c r="E20" s="11"/>
      <c r="F20" s="2"/>
      <c r="G20" s="2" t="str">
        <f aca="true">IF(A20="","",MAX(0,(YEAR(E20)-YEAR(TODAY()))*12+MONTH(E20)-MONTH(TODAY())))</f>
        <v/>
      </c>
      <c r="H20" s="13" t="str">
        <f aca="false">IF(A20="","",IF(G20=0,MAX(0,C20-D20),MAX(0,C20-D20)/G20))</f>
        <v/>
      </c>
      <c r="I20" s="16" t="str">
        <f aca="false">IF(OR(A20="",C20=0),"",MIN(1,D20/C20))</f>
        <v/>
      </c>
      <c r="J20" s="2"/>
    </row>
    <row r="21" customFormat="false" ht="15" hidden="false" customHeight="false" outlineLevel="0" collapsed="false">
      <c r="A21" s="2"/>
      <c r="B21" s="2"/>
      <c r="C21" s="13"/>
      <c r="D21" s="13"/>
      <c r="E21" s="11"/>
      <c r="F21" s="2"/>
      <c r="G21" s="2" t="str">
        <f aca="true">IF(A21="","",MAX(0,(YEAR(E21)-YEAR(TODAY()))*12+MONTH(E21)-MONTH(TODAY())))</f>
        <v/>
      </c>
      <c r="H21" s="13" t="str">
        <f aca="false">IF(A21="","",IF(G21=0,MAX(0,C21-D21),MAX(0,C21-D21)/G21))</f>
        <v/>
      </c>
      <c r="I21" s="16" t="str">
        <f aca="false">IF(OR(A21="",C21=0),"",MIN(1,D21/C21))</f>
        <v/>
      </c>
      <c r="J21" s="2"/>
    </row>
    <row r="22" customFormat="false" ht="15" hidden="false" customHeight="false" outlineLevel="0" collapsed="false">
      <c r="A22" s="2"/>
      <c r="B22" s="2"/>
      <c r="C22" s="13"/>
      <c r="D22" s="13"/>
      <c r="E22" s="11"/>
      <c r="F22" s="2"/>
      <c r="G22" s="2" t="str">
        <f aca="true">IF(A22="","",MAX(0,(YEAR(E22)-YEAR(TODAY()))*12+MONTH(E22)-MONTH(TODAY())))</f>
        <v/>
      </c>
      <c r="H22" s="13" t="str">
        <f aca="false">IF(A22="","",IF(G22=0,MAX(0,C22-D22),MAX(0,C22-D22)/G22))</f>
        <v/>
      </c>
      <c r="I22" s="16" t="str">
        <f aca="false">IF(OR(A22="",C22=0),"",MIN(1,D22/C22))</f>
        <v/>
      </c>
      <c r="J22" s="2"/>
    </row>
    <row r="23" customFormat="false" ht="15" hidden="false" customHeight="false" outlineLevel="0" collapsed="false">
      <c r="A23" s="2"/>
      <c r="B23" s="2"/>
      <c r="C23" s="13"/>
      <c r="D23" s="13"/>
      <c r="E23" s="11"/>
      <c r="F23" s="2"/>
      <c r="G23" s="2" t="str">
        <f aca="true">IF(A23="","",MAX(0,(YEAR(E23)-YEAR(TODAY()))*12+MONTH(E23)-MONTH(TODAY())))</f>
        <v/>
      </c>
      <c r="H23" s="13" t="str">
        <f aca="false">IF(A23="","",IF(G23=0,MAX(0,C23-D23),MAX(0,C23-D23)/G23))</f>
        <v/>
      </c>
      <c r="I23" s="16" t="str">
        <f aca="false">IF(OR(A23="",C23=0),"",MIN(1,D23/C23))</f>
        <v/>
      </c>
      <c r="J23" s="2"/>
    </row>
    <row r="24" customFormat="false" ht="15" hidden="false" customHeight="false" outlineLevel="0" collapsed="false">
      <c r="A24" s="2"/>
      <c r="B24" s="2"/>
      <c r="C24" s="13"/>
      <c r="D24" s="13"/>
      <c r="E24" s="11"/>
      <c r="F24" s="2"/>
      <c r="G24" s="2" t="str">
        <f aca="true">IF(A24="","",MAX(0,(YEAR(E24)-YEAR(TODAY()))*12+MONTH(E24)-MONTH(TODAY())))</f>
        <v/>
      </c>
      <c r="H24" s="13" t="str">
        <f aca="false">IF(A24="","",IF(G24=0,MAX(0,C24-D24),MAX(0,C24-D24)/G24))</f>
        <v/>
      </c>
      <c r="I24" s="16" t="str">
        <f aca="false">IF(OR(A24="",C24=0),"",MIN(1,D24/C24))</f>
        <v/>
      </c>
      <c r="J24" s="2"/>
    </row>
    <row r="25" customFormat="false" ht="15" hidden="false" customHeight="false" outlineLevel="0" collapsed="false">
      <c r="A25" s="2"/>
      <c r="B25" s="2"/>
      <c r="C25" s="13"/>
      <c r="D25" s="13"/>
      <c r="E25" s="11"/>
      <c r="F25" s="2"/>
      <c r="G25" s="2" t="str">
        <f aca="true">IF(A25="","",MAX(0,(YEAR(E25)-YEAR(TODAY()))*12+MONTH(E25)-MONTH(TODAY())))</f>
        <v/>
      </c>
      <c r="H25" s="13" t="str">
        <f aca="false">IF(A25="","",IF(G25=0,MAX(0,C25-D25),MAX(0,C25-D25)/G25))</f>
        <v/>
      </c>
      <c r="I25" s="16" t="str">
        <f aca="false">IF(OR(A25="",C25=0),"",MIN(1,D25/C25))</f>
        <v/>
      </c>
      <c r="J25" s="2"/>
    </row>
    <row r="26" customFormat="false" ht="15" hidden="false" customHeight="false" outlineLevel="0" collapsed="false">
      <c r="A26" s="2"/>
      <c r="B26" s="2"/>
      <c r="C26" s="13"/>
      <c r="D26" s="13"/>
      <c r="E26" s="11"/>
      <c r="F26" s="2"/>
      <c r="G26" s="2" t="str">
        <f aca="true">IF(A26="","",MAX(0,(YEAR(E26)-YEAR(TODAY()))*12+MONTH(E26)-MONTH(TODAY())))</f>
        <v/>
      </c>
      <c r="H26" s="13" t="str">
        <f aca="false">IF(A26="","",IF(G26=0,MAX(0,C26-D26),MAX(0,C26-D26)/G26))</f>
        <v/>
      </c>
      <c r="I26" s="16" t="str">
        <f aca="false">IF(OR(A26="",C26=0),"",MIN(1,D26/C26))</f>
        <v/>
      </c>
      <c r="J26" s="2"/>
    </row>
    <row r="27" customFormat="false" ht="15" hidden="false" customHeight="false" outlineLevel="0" collapsed="false">
      <c r="A27" s="2"/>
      <c r="B27" s="2"/>
      <c r="C27" s="13"/>
      <c r="D27" s="13"/>
      <c r="E27" s="11"/>
      <c r="F27" s="2"/>
      <c r="G27" s="2" t="str">
        <f aca="true">IF(A27="","",MAX(0,(YEAR(E27)-YEAR(TODAY()))*12+MONTH(E27)-MONTH(TODAY())))</f>
        <v/>
      </c>
      <c r="H27" s="13" t="str">
        <f aca="false">IF(A27="","",IF(G27=0,MAX(0,C27-D27),MAX(0,C27-D27)/G27))</f>
        <v/>
      </c>
      <c r="I27" s="16" t="str">
        <f aca="false">IF(OR(A27="",C27=0),"",MIN(1,D27/C27))</f>
        <v/>
      </c>
      <c r="J27" s="2"/>
    </row>
    <row r="28" customFormat="false" ht="15" hidden="false" customHeight="false" outlineLevel="0" collapsed="false">
      <c r="A28" s="2"/>
      <c r="B28" s="2"/>
      <c r="C28" s="13"/>
      <c r="D28" s="13"/>
      <c r="E28" s="11"/>
      <c r="F28" s="2"/>
      <c r="G28" s="2" t="str">
        <f aca="true">IF(A28="","",MAX(0,(YEAR(E28)-YEAR(TODAY()))*12+MONTH(E28)-MONTH(TODAY())))</f>
        <v/>
      </c>
      <c r="H28" s="13" t="str">
        <f aca="false">IF(A28="","",IF(G28=0,MAX(0,C28-D28),MAX(0,C28-D28)/G28))</f>
        <v/>
      </c>
      <c r="I28" s="16" t="str">
        <f aca="false">IF(OR(A28="",C28=0),"",MIN(1,D28/C28))</f>
        <v/>
      </c>
      <c r="J28" s="2"/>
    </row>
    <row r="29" customFormat="false" ht="15" hidden="false" customHeight="false" outlineLevel="0" collapsed="false">
      <c r="A29" s="2"/>
      <c r="B29" s="2"/>
      <c r="C29" s="13"/>
      <c r="D29" s="13"/>
      <c r="E29" s="11"/>
      <c r="F29" s="2"/>
      <c r="G29" s="2" t="str">
        <f aca="true">IF(A29="","",MAX(0,(YEAR(E29)-YEAR(TODAY()))*12+MONTH(E29)-MONTH(TODAY())))</f>
        <v/>
      </c>
      <c r="H29" s="13" t="str">
        <f aca="false">IF(A29="","",IF(G29=0,MAX(0,C29-D29),MAX(0,C29-D29)/G29))</f>
        <v/>
      </c>
      <c r="I29" s="16" t="str">
        <f aca="false">IF(OR(A29="",C29=0),"",MIN(1,D29/C29))</f>
        <v/>
      </c>
      <c r="J29" s="2"/>
    </row>
    <row r="30" customFormat="false" ht="15" hidden="false" customHeight="false" outlineLevel="0" collapsed="false">
      <c r="A30" s="2"/>
      <c r="B30" s="2"/>
      <c r="C30" s="13"/>
      <c r="D30" s="13"/>
      <c r="E30" s="11"/>
      <c r="F30" s="2"/>
      <c r="G30" s="2" t="str">
        <f aca="true">IF(A30="","",MAX(0,(YEAR(E30)-YEAR(TODAY()))*12+MONTH(E30)-MONTH(TODAY())))</f>
        <v/>
      </c>
      <c r="H30" s="13" t="str">
        <f aca="false">IF(A30="","",IF(G30=0,MAX(0,C30-D30),MAX(0,C30-D30)/G30))</f>
        <v/>
      </c>
      <c r="I30" s="16" t="str">
        <f aca="false">IF(OR(A30="",C30=0),"",MIN(1,D30/C30))</f>
        <v/>
      </c>
      <c r="J30" s="2"/>
    </row>
    <row r="31" customFormat="false" ht="15" hidden="false" customHeight="false" outlineLevel="0" collapsed="false">
      <c r="A31" s="2"/>
      <c r="B31" s="2"/>
      <c r="C31" s="13"/>
      <c r="D31" s="13"/>
      <c r="E31" s="11"/>
      <c r="F31" s="2"/>
      <c r="G31" s="2" t="str">
        <f aca="true">IF(A31="","",MAX(0,(YEAR(E31)-YEAR(TODAY()))*12+MONTH(E31)-MONTH(TODAY())))</f>
        <v/>
      </c>
      <c r="H31" s="13" t="str">
        <f aca="false">IF(A31="","",IF(G31=0,MAX(0,C31-D31),MAX(0,C31-D31)/G31))</f>
        <v/>
      </c>
      <c r="I31" s="16" t="str">
        <f aca="false">IF(OR(A31="",C31=0),"",MIN(1,D31/C31))</f>
        <v/>
      </c>
      <c r="J31" s="2"/>
    </row>
    <row r="32" customFormat="false" ht="15" hidden="false" customHeight="false" outlineLevel="0" collapsed="false">
      <c r="A32" s="2"/>
      <c r="B32" s="2"/>
      <c r="C32" s="13"/>
      <c r="D32" s="13"/>
      <c r="E32" s="11"/>
      <c r="F32" s="2"/>
      <c r="G32" s="2" t="str">
        <f aca="true">IF(A32="","",MAX(0,(YEAR(E32)-YEAR(TODAY()))*12+MONTH(E32)-MONTH(TODAY())))</f>
        <v/>
      </c>
      <c r="H32" s="13" t="str">
        <f aca="false">IF(A32="","",IF(G32=0,MAX(0,C32-D32),MAX(0,C32-D32)/G32))</f>
        <v/>
      </c>
      <c r="I32" s="16" t="str">
        <f aca="false">IF(OR(A32="",C32=0),"",MIN(1,D32/C32))</f>
        <v/>
      </c>
      <c r="J32" s="2"/>
    </row>
    <row r="33" customFormat="false" ht="15" hidden="false" customHeight="false" outlineLevel="0" collapsed="false">
      <c r="A33" s="2"/>
      <c r="B33" s="2"/>
      <c r="C33" s="13"/>
      <c r="D33" s="13"/>
      <c r="E33" s="11"/>
      <c r="F33" s="2"/>
      <c r="G33" s="2" t="str">
        <f aca="true">IF(A33="","",MAX(0,(YEAR(E33)-YEAR(TODAY()))*12+MONTH(E33)-MONTH(TODAY())))</f>
        <v/>
      </c>
      <c r="H33" s="13" t="str">
        <f aca="false">IF(A33="","",IF(G33=0,MAX(0,C33-D33),MAX(0,C33-D33)/G33))</f>
        <v/>
      </c>
      <c r="I33" s="16" t="str">
        <f aca="false">IF(OR(A33="",C33=0),"",MIN(1,D33/C33))</f>
        <v/>
      </c>
      <c r="J33" s="2"/>
    </row>
    <row r="34" customFormat="false" ht="15" hidden="false" customHeight="false" outlineLevel="0" collapsed="false">
      <c r="A34" s="2"/>
      <c r="B34" s="2"/>
      <c r="C34" s="13"/>
      <c r="D34" s="13"/>
      <c r="E34" s="11"/>
      <c r="F34" s="2"/>
      <c r="G34" s="2" t="str">
        <f aca="true">IF(A34="","",MAX(0,(YEAR(E34)-YEAR(TODAY()))*12+MONTH(E34)-MONTH(TODAY())))</f>
        <v/>
      </c>
      <c r="H34" s="13" t="str">
        <f aca="false">IF(A34="","",IF(G34=0,MAX(0,C34-D34),MAX(0,C34-D34)/G34))</f>
        <v/>
      </c>
      <c r="I34" s="16" t="str">
        <f aca="false">IF(OR(A34="",C34=0),"",MIN(1,D34/C34))</f>
        <v/>
      </c>
      <c r="J34" s="2"/>
    </row>
    <row r="35" customFormat="false" ht="15" hidden="false" customHeight="false" outlineLevel="0" collapsed="false">
      <c r="A35" s="2"/>
      <c r="B35" s="2"/>
      <c r="C35" s="13"/>
      <c r="D35" s="13"/>
      <c r="E35" s="11"/>
      <c r="F35" s="2"/>
      <c r="G35" s="2" t="str">
        <f aca="true">IF(A35="","",MAX(0,(YEAR(E35)-YEAR(TODAY()))*12+MONTH(E35)-MONTH(TODAY())))</f>
        <v/>
      </c>
      <c r="H35" s="13" t="str">
        <f aca="false">IF(A35="","",IF(G35=0,MAX(0,C35-D35),MAX(0,C35-D35)/G35))</f>
        <v/>
      </c>
      <c r="I35" s="16" t="str">
        <f aca="false">IF(OR(A35="",C35=0),"",MIN(1,D35/C35))</f>
        <v/>
      </c>
      <c r="J35" s="2"/>
    </row>
    <row r="36" customFormat="false" ht="15" hidden="false" customHeight="false" outlineLevel="0" collapsed="false">
      <c r="A36" s="2"/>
      <c r="B36" s="2"/>
      <c r="C36" s="13"/>
      <c r="D36" s="13"/>
      <c r="E36" s="11"/>
      <c r="F36" s="2"/>
      <c r="G36" s="2" t="str">
        <f aca="true">IF(A36="","",MAX(0,(YEAR(E36)-YEAR(TODAY()))*12+MONTH(E36)-MONTH(TODAY())))</f>
        <v/>
      </c>
      <c r="H36" s="13" t="str">
        <f aca="false">IF(A36="","",IF(G36=0,MAX(0,C36-D36),MAX(0,C36-D36)/G36))</f>
        <v/>
      </c>
      <c r="I36" s="16" t="str">
        <f aca="false">IF(OR(A36="",C36=0),"",MIN(1,D36/C36))</f>
        <v/>
      </c>
      <c r="J36" s="2"/>
    </row>
    <row r="37" customFormat="false" ht="15" hidden="false" customHeight="false" outlineLevel="0" collapsed="false">
      <c r="A37" s="2"/>
      <c r="B37" s="2"/>
      <c r="C37" s="13"/>
      <c r="D37" s="13"/>
      <c r="E37" s="11"/>
      <c r="F37" s="2"/>
      <c r="G37" s="2" t="str">
        <f aca="true">IF(A37="","",MAX(0,(YEAR(E37)-YEAR(TODAY()))*12+MONTH(E37)-MONTH(TODAY())))</f>
        <v/>
      </c>
      <c r="H37" s="13" t="str">
        <f aca="false">IF(A37="","",IF(G37=0,MAX(0,C37-D37),MAX(0,C37-D37)/G37))</f>
        <v/>
      </c>
      <c r="I37" s="16" t="str">
        <f aca="false">IF(OR(A37="",C37=0),"",MIN(1,D37/C37))</f>
        <v/>
      </c>
      <c r="J37" s="2"/>
    </row>
    <row r="38" customFormat="false" ht="15" hidden="false" customHeight="false" outlineLevel="0" collapsed="false">
      <c r="A38" s="2"/>
      <c r="B38" s="2"/>
      <c r="C38" s="13"/>
      <c r="D38" s="13"/>
      <c r="E38" s="11"/>
      <c r="F38" s="2"/>
      <c r="G38" s="2" t="str">
        <f aca="true">IF(A38="","",MAX(0,(YEAR(E38)-YEAR(TODAY()))*12+MONTH(E38)-MONTH(TODAY())))</f>
        <v/>
      </c>
      <c r="H38" s="13" t="str">
        <f aca="false">IF(A38="","",IF(G38=0,MAX(0,C38-D38),MAX(0,C38-D38)/G38))</f>
        <v/>
      </c>
      <c r="I38" s="16" t="str">
        <f aca="false">IF(OR(A38="",C38=0),"",MIN(1,D38/C38))</f>
        <v/>
      </c>
      <c r="J38" s="2"/>
    </row>
    <row r="39" customFormat="false" ht="15" hidden="false" customHeight="false" outlineLevel="0" collapsed="false">
      <c r="A39" s="2"/>
      <c r="B39" s="2"/>
      <c r="C39" s="13"/>
      <c r="D39" s="13"/>
      <c r="E39" s="11"/>
      <c r="F39" s="2"/>
      <c r="G39" s="2" t="str">
        <f aca="true">IF(A39="","",MAX(0,(YEAR(E39)-YEAR(TODAY()))*12+MONTH(E39)-MONTH(TODAY())))</f>
        <v/>
      </c>
      <c r="H39" s="13" t="str">
        <f aca="false">IF(A39="","",IF(G39=0,MAX(0,C39-D39),MAX(0,C39-D39)/G39))</f>
        <v/>
      </c>
      <c r="I39" s="16" t="str">
        <f aca="false">IF(OR(A39="",C39=0),"",MIN(1,D39/C39))</f>
        <v/>
      </c>
      <c r="J39" s="2"/>
    </row>
    <row r="40" customFormat="false" ht="15" hidden="false" customHeight="false" outlineLevel="0" collapsed="false">
      <c r="A40" s="2"/>
      <c r="B40" s="2"/>
      <c r="C40" s="13"/>
      <c r="D40" s="13"/>
      <c r="E40" s="11"/>
      <c r="F40" s="2"/>
      <c r="G40" s="2" t="str">
        <f aca="true">IF(A40="","",MAX(0,(YEAR(E40)-YEAR(TODAY()))*12+MONTH(E40)-MONTH(TODAY())))</f>
        <v/>
      </c>
      <c r="H40" s="13" t="str">
        <f aca="false">IF(A40="","",IF(G40=0,MAX(0,C40-D40),MAX(0,C40-D40)/G40))</f>
        <v/>
      </c>
      <c r="I40" s="16" t="str">
        <f aca="false">IF(OR(A40="",C40=0),"",MIN(1,D40/C40))</f>
        <v/>
      </c>
      <c r="J40" s="2"/>
    </row>
    <row r="41" customFormat="false" ht="15" hidden="false" customHeight="false" outlineLevel="0" collapsed="false">
      <c r="A41" s="2"/>
      <c r="B41" s="2"/>
      <c r="C41" s="13"/>
      <c r="D41" s="13"/>
      <c r="E41" s="11"/>
      <c r="F41" s="2"/>
      <c r="G41" s="2" t="str">
        <f aca="true">IF(A41="","",MAX(0,(YEAR(E41)-YEAR(TODAY()))*12+MONTH(E41)-MONTH(TODAY())))</f>
        <v/>
      </c>
      <c r="H41" s="13" t="str">
        <f aca="false">IF(A41="","",IF(G41=0,MAX(0,C41-D41),MAX(0,C41-D41)/G41))</f>
        <v/>
      </c>
      <c r="I41" s="16" t="str">
        <f aca="false">IF(OR(A41="",C41=0),"",MIN(1,D41/C41))</f>
        <v/>
      </c>
      <c r="J41" s="2"/>
    </row>
    <row r="42" customFormat="false" ht="15" hidden="false" customHeight="false" outlineLevel="0" collapsed="false">
      <c r="A42" s="2"/>
      <c r="B42" s="2"/>
      <c r="C42" s="13"/>
      <c r="D42" s="13"/>
      <c r="E42" s="11"/>
      <c r="F42" s="2"/>
      <c r="G42" s="2" t="str">
        <f aca="true">IF(A42="","",MAX(0,(YEAR(E42)-YEAR(TODAY()))*12+MONTH(E42)-MONTH(TODAY())))</f>
        <v/>
      </c>
      <c r="H42" s="13" t="str">
        <f aca="false">IF(A42="","",IF(G42=0,MAX(0,C42-D42),MAX(0,C42-D42)/G42))</f>
        <v/>
      </c>
      <c r="I42" s="16" t="str">
        <f aca="false">IF(OR(A42="",C42=0),"",MIN(1,D42/C42))</f>
        <v/>
      </c>
      <c r="J42" s="2"/>
    </row>
    <row r="43" customFormat="false" ht="15" hidden="false" customHeight="false" outlineLevel="0" collapsed="false">
      <c r="A43" s="2"/>
      <c r="B43" s="2"/>
      <c r="C43" s="13"/>
      <c r="D43" s="13"/>
      <c r="E43" s="11"/>
      <c r="F43" s="2"/>
      <c r="G43" s="2" t="str">
        <f aca="true">IF(A43="","",MAX(0,(YEAR(E43)-YEAR(TODAY()))*12+MONTH(E43)-MONTH(TODAY())))</f>
        <v/>
      </c>
      <c r="H43" s="13" t="str">
        <f aca="false">IF(A43="","",IF(G43=0,MAX(0,C43-D43),MAX(0,C43-D43)/G43))</f>
        <v/>
      </c>
      <c r="I43" s="16" t="str">
        <f aca="false">IF(OR(A43="",C43=0),"",MIN(1,D43/C43))</f>
        <v/>
      </c>
      <c r="J43" s="2"/>
    </row>
    <row r="44" customFormat="false" ht="15" hidden="false" customHeight="false" outlineLevel="0" collapsed="false">
      <c r="A44" s="2"/>
      <c r="B44" s="2"/>
      <c r="C44" s="13"/>
      <c r="D44" s="13"/>
      <c r="E44" s="11"/>
      <c r="F44" s="2"/>
      <c r="G44" s="2" t="str">
        <f aca="true">IF(A44="","",MAX(0,(YEAR(E44)-YEAR(TODAY()))*12+MONTH(E44)-MONTH(TODAY())))</f>
        <v/>
      </c>
      <c r="H44" s="13" t="str">
        <f aca="false">IF(A44="","",IF(G44=0,MAX(0,C44-D44),MAX(0,C44-D44)/G44))</f>
        <v/>
      </c>
      <c r="I44" s="16" t="str">
        <f aca="false">IF(OR(A44="",C44=0),"",MIN(1,D44/C44))</f>
        <v/>
      </c>
      <c r="J44" s="2"/>
    </row>
    <row r="45" customFormat="false" ht="15" hidden="false" customHeight="false" outlineLevel="0" collapsed="false">
      <c r="A45" s="2"/>
      <c r="B45" s="2"/>
      <c r="C45" s="13"/>
      <c r="D45" s="13"/>
      <c r="E45" s="11"/>
      <c r="F45" s="2"/>
      <c r="G45" s="2" t="str">
        <f aca="true">IF(A45="","",MAX(0,(YEAR(E45)-YEAR(TODAY()))*12+MONTH(E45)-MONTH(TODAY())))</f>
        <v/>
      </c>
      <c r="H45" s="13" t="str">
        <f aca="false">IF(A45="","",IF(G45=0,MAX(0,C45-D45),MAX(0,C45-D45)/G45))</f>
        <v/>
      </c>
      <c r="I45" s="16" t="str">
        <f aca="false">IF(OR(A45="",C45=0),"",MIN(1,D45/C45))</f>
        <v/>
      </c>
      <c r="J45" s="2"/>
    </row>
    <row r="46" customFormat="false" ht="15" hidden="false" customHeight="false" outlineLevel="0" collapsed="false">
      <c r="A46" s="2"/>
      <c r="B46" s="2"/>
      <c r="C46" s="13"/>
      <c r="D46" s="13"/>
      <c r="E46" s="11"/>
      <c r="F46" s="2"/>
      <c r="G46" s="2" t="str">
        <f aca="true">IF(A46="","",MAX(0,(YEAR(E46)-YEAR(TODAY()))*12+MONTH(E46)-MONTH(TODAY())))</f>
        <v/>
      </c>
      <c r="H46" s="13" t="str">
        <f aca="false">IF(A46="","",IF(G46=0,MAX(0,C46-D46),MAX(0,C46-D46)/G46))</f>
        <v/>
      </c>
      <c r="I46" s="16" t="str">
        <f aca="false">IF(OR(A46="",C46=0),"",MIN(1,D46/C46))</f>
        <v/>
      </c>
      <c r="J46" s="2"/>
    </row>
    <row r="47" customFormat="false" ht="15" hidden="false" customHeight="false" outlineLevel="0" collapsed="false">
      <c r="A47" s="2"/>
      <c r="B47" s="2"/>
      <c r="C47" s="13"/>
      <c r="D47" s="13"/>
      <c r="E47" s="11"/>
      <c r="F47" s="2"/>
      <c r="G47" s="2" t="str">
        <f aca="true">IF(A47="","",MAX(0,(YEAR(E47)-YEAR(TODAY()))*12+MONTH(E47)-MONTH(TODAY())))</f>
        <v/>
      </c>
      <c r="H47" s="13" t="str">
        <f aca="false">IF(A47="","",IF(G47=0,MAX(0,C47-D47),MAX(0,C47-D47)/G47))</f>
        <v/>
      </c>
      <c r="I47" s="16" t="str">
        <f aca="false">IF(OR(A47="",C47=0),"",MIN(1,D47/C47))</f>
        <v/>
      </c>
      <c r="J47" s="2"/>
    </row>
    <row r="48" customFormat="false" ht="15" hidden="false" customHeight="false" outlineLevel="0" collapsed="false">
      <c r="A48" s="2"/>
      <c r="B48" s="2"/>
      <c r="C48" s="13"/>
      <c r="D48" s="13"/>
      <c r="E48" s="11"/>
      <c r="F48" s="2"/>
      <c r="G48" s="2" t="str">
        <f aca="true">IF(A48="","",MAX(0,(YEAR(E48)-YEAR(TODAY()))*12+MONTH(E48)-MONTH(TODAY())))</f>
        <v/>
      </c>
      <c r="H48" s="13" t="str">
        <f aca="false">IF(A48="","",IF(G48=0,MAX(0,C48-D48),MAX(0,C48-D48)/G48))</f>
        <v/>
      </c>
      <c r="I48" s="16" t="str">
        <f aca="false">IF(OR(A48="",C48=0),"",MIN(1,D48/C48))</f>
        <v/>
      </c>
      <c r="J48" s="2"/>
    </row>
    <row r="49" customFormat="false" ht="15" hidden="false" customHeight="false" outlineLevel="0" collapsed="false">
      <c r="A49" s="2"/>
      <c r="B49" s="2"/>
      <c r="C49" s="13"/>
      <c r="D49" s="13"/>
      <c r="E49" s="11"/>
      <c r="F49" s="2"/>
      <c r="G49" s="2" t="str">
        <f aca="true">IF(A49="","",MAX(0,(YEAR(E49)-YEAR(TODAY()))*12+MONTH(E49)-MONTH(TODAY())))</f>
        <v/>
      </c>
      <c r="H49" s="13" t="str">
        <f aca="false">IF(A49="","",IF(G49=0,MAX(0,C49-D49),MAX(0,C49-D49)/G49))</f>
        <v/>
      </c>
      <c r="I49" s="16" t="str">
        <f aca="false">IF(OR(A49="",C49=0),"",MIN(1,D49/C49))</f>
        <v/>
      </c>
      <c r="J49" s="2"/>
    </row>
    <row r="50" customFormat="false" ht="15" hidden="false" customHeight="false" outlineLevel="0" collapsed="false">
      <c r="A50" s="2"/>
      <c r="B50" s="2"/>
      <c r="C50" s="13"/>
      <c r="D50" s="13"/>
      <c r="E50" s="11"/>
      <c r="F50" s="2"/>
      <c r="G50" s="2" t="str">
        <f aca="true">IF(A50="","",MAX(0,(YEAR(E50)-YEAR(TODAY()))*12+MONTH(E50)-MONTH(TODAY())))</f>
        <v/>
      </c>
      <c r="H50" s="13" t="str">
        <f aca="false">IF(A50="","",IF(G50=0,MAX(0,C50-D50),MAX(0,C50-D50)/G50))</f>
        <v/>
      </c>
      <c r="I50" s="16" t="str">
        <f aca="false">IF(OR(A50="",C50=0),"",MIN(1,D50/C50))</f>
        <v/>
      </c>
      <c r="J50" s="2"/>
    </row>
    <row r="51" customFormat="false" ht="15" hidden="false" customHeight="false" outlineLevel="0" collapsed="false">
      <c r="A51" s="2"/>
      <c r="B51" s="2"/>
      <c r="C51" s="13"/>
      <c r="D51" s="13"/>
      <c r="E51" s="11"/>
      <c r="F51" s="2"/>
      <c r="G51" s="2" t="str">
        <f aca="true">IF(A51="","",MAX(0,(YEAR(E51)-YEAR(TODAY()))*12+MONTH(E51)-MONTH(TODAY())))</f>
        <v/>
      </c>
      <c r="H51" s="13" t="str">
        <f aca="false">IF(A51="","",IF(G51=0,MAX(0,C51-D51),MAX(0,C51-D51)/G51))</f>
        <v/>
      </c>
      <c r="I51" s="16" t="str">
        <f aca="false">IF(OR(A51="",C51=0),"",MIN(1,D51/C51))</f>
        <v/>
      </c>
      <c r="J51" s="2"/>
    </row>
  </sheetData>
  <dataValidations count="1">
    <dataValidation allowBlank="true" error="Pick a value from the dropdown list." errorStyle="stop" errorTitle="Invalid value" operator="between" showDropDown="false" showErrorMessage="true" showInputMessage="false" sqref="F2:F51" type="list">
      <formula1>Lists!$P$2:$P$4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7"/>
    <col collapsed="false" customWidth="true" hidden="false" outlineLevel="0" max="11" min="11" style="0" width="25"/>
    <col collapsed="false" customWidth="true" hidden="false" outlineLevel="0" max="12" min="12" style="0" width="15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14"/>
  </cols>
  <sheetData>
    <row r="1" customFormat="false" ht="30" hidden="false" customHeight="true" outlineLevel="0" collapsed="false">
      <c r="A1" s="6" t="s">
        <v>313</v>
      </c>
      <c r="B1" s="6" t="s">
        <v>314</v>
      </c>
      <c r="C1" s="6" t="s">
        <v>150</v>
      </c>
      <c r="D1" s="6" t="s">
        <v>315</v>
      </c>
      <c r="E1" s="6" t="s">
        <v>316</v>
      </c>
      <c r="F1" s="6" t="s">
        <v>317</v>
      </c>
      <c r="G1" s="6" t="s">
        <v>318</v>
      </c>
      <c r="H1" s="6" t="s">
        <v>319</v>
      </c>
      <c r="I1" s="6" t="s">
        <v>320</v>
      </c>
      <c r="J1" s="6" t="s">
        <v>321</v>
      </c>
      <c r="K1" s="6" t="s">
        <v>322</v>
      </c>
      <c r="L1" s="6" t="s">
        <v>323</v>
      </c>
      <c r="M1" s="6" t="s">
        <v>324</v>
      </c>
      <c r="N1" s="6" t="s">
        <v>325</v>
      </c>
      <c r="O1" s="6" t="s">
        <v>326</v>
      </c>
      <c r="P1" s="6" t="s">
        <v>327</v>
      </c>
      <c r="Q1" s="6" t="s">
        <v>328</v>
      </c>
      <c r="R1" s="6" t="s">
        <v>148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  <col collapsed="false" customWidth="true" hidden="false" outlineLevel="0" max="9" min="8" style="0" width="24"/>
    <col collapsed="false" customWidth="true" hidden="false" outlineLevel="0" max="17" min="11" style="0" width="24"/>
  </cols>
  <sheetData>
    <row r="1" customFormat="false" ht="15" hidden="false" customHeight="false" outlineLevel="0" collapsed="false">
      <c r="A1" s="26" t="s">
        <v>136</v>
      </c>
      <c r="B1" s="26" t="s">
        <v>140</v>
      </c>
      <c r="C1" s="26" t="s">
        <v>145</v>
      </c>
      <c r="D1" s="26" t="s">
        <v>48</v>
      </c>
      <c r="E1" s="26" t="s">
        <v>330</v>
      </c>
      <c r="F1" s="26" t="s">
        <v>138</v>
      </c>
      <c r="G1" s="2"/>
      <c r="H1" s="26" t="s">
        <v>138</v>
      </c>
      <c r="I1" s="26" t="s">
        <v>139</v>
      </c>
      <c r="J1" s="2"/>
      <c r="K1" s="26" t="s">
        <v>331</v>
      </c>
      <c r="L1" s="26" t="s">
        <v>282</v>
      </c>
      <c r="M1" s="26" t="s">
        <v>292</v>
      </c>
      <c r="N1" s="26" t="s">
        <v>216</v>
      </c>
      <c r="O1" s="26" t="s">
        <v>213</v>
      </c>
      <c r="P1" s="26" t="s">
        <v>303</v>
      </c>
      <c r="Q1" s="26" t="s">
        <v>248</v>
      </c>
    </row>
    <row r="2" customFormat="false" ht="15" hidden="false" customHeight="false" outlineLevel="0" collapsed="false">
      <c r="A2" s="2" t="s">
        <v>13</v>
      </c>
      <c r="B2" s="2" t="s">
        <v>176</v>
      </c>
      <c r="C2" s="2" t="s">
        <v>332</v>
      </c>
      <c r="D2" s="2" t="s">
        <v>49</v>
      </c>
      <c r="E2" s="2" t="s">
        <v>156</v>
      </c>
      <c r="F2" s="2" t="s">
        <v>160</v>
      </c>
      <c r="G2" s="2"/>
      <c r="H2" s="2" t="s">
        <v>160</v>
      </c>
      <c r="I2" s="2" t="s">
        <v>161</v>
      </c>
      <c r="J2" s="2"/>
      <c r="K2" s="2" t="s">
        <v>273</v>
      </c>
      <c r="L2" s="2" t="s">
        <v>297</v>
      </c>
      <c r="M2" s="2" t="s">
        <v>295</v>
      </c>
      <c r="N2" s="2" t="s">
        <v>221</v>
      </c>
      <c r="O2" s="2" t="s">
        <v>220</v>
      </c>
      <c r="P2" s="2" t="s">
        <v>309</v>
      </c>
      <c r="Q2" s="2" t="s">
        <v>176</v>
      </c>
    </row>
    <row r="3" customFormat="false" ht="15" hidden="false" customHeight="false" outlineLevel="0" collapsed="false">
      <c r="A3" s="2" t="s">
        <v>15</v>
      </c>
      <c r="B3" s="2" t="s">
        <v>169</v>
      </c>
      <c r="C3" s="2" t="s">
        <v>333</v>
      </c>
      <c r="D3" s="2" t="s">
        <v>334</v>
      </c>
      <c r="E3" s="2" t="s">
        <v>171</v>
      </c>
      <c r="F3" s="2" t="s">
        <v>185</v>
      </c>
      <c r="G3" s="2"/>
      <c r="H3" s="2" t="s">
        <v>160</v>
      </c>
      <c r="I3" s="2" t="s">
        <v>335</v>
      </c>
      <c r="J3" s="2"/>
      <c r="K3" s="2" t="s">
        <v>336</v>
      </c>
      <c r="L3" s="2" t="s">
        <v>337</v>
      </c>
      <c r="M3" s="2" t="s">
        <v>338</v>
      </c>
      <c r="N3" s="2" t="s">
        <v>339</v>
      </c>
      <c r="O3" s="2" t="s">
        <v>340</v>
      </c>
      <c r="P3" s="2" t="s">
        <v>312</v>
      </c>
      <c r="Q3" s="2" t="s">
        <v>258</v>
      </c>
    </row>
    <row r="4" customFormat="false" ht="15" hidden="false" customHeight="false" outlineLevel="0" collapsed="false">
      <c r="A4" s="2" t="s">
        <v>17</v>
      </c>
      <c r="B4" s="2" t="s">
        <v>341</v>
      </c>
      <c r="C4" s="2" t="s">
        <v>342</v>
      </c>
      <c r="D4" s="2" t="s">
        <v>343</v>
      </c>
      <c r="E4" s="2"/>
      <c r="F4" s="2" t="s">
        <v>173</v>
      </c>
      <c r="G4" s="2"/>
      <c r="H4" s="2" t="s">
        <v>160</v>
      </c>
      <c r="I4" s="2" t="s">
        <v>344</v>
      </c>
      <c r="J4" s="2"/>
      <c r="K4" s="2" t="s">
        <v>277</v>
      </c>
      <c r="L4" s="2" t="s">
        <v>293</v>
      </c>
      <c r="M4" s="2"/>
      <c r="N4" s="2" t="s">
        <v>345</v>
      </c>
      <c r="O4" s="2" t="s">
        <v>346</v>
      </c>
      <c r="P4" s="2" t="s">
        <v>347</v>
      </c>
      <c r="Q4" s="2" t="s">
        <v>348</v>
      </c>
    </row>
    <row r="5" customFormat="false" ht="15" hidden="false" customHeight="false" outlineLevel="0" collapsed="false">
      <c r="A5" s="2" t="s">
        <v>19</v>
      </c>
      <c r="B5" s="2" t="s">
        <v>188</v>
      </c>
      <c r="C5" s="2" t="s">
        <v>349</v>
      </c>
      <c r="D5" s="2" t="s">
        <v>350</v>
      </c>
      <c r="E5" s="2"/>
      <c r="F5" s="2" t="s">
        <v>179</v>
      </c>
      <c r="G5" s="2"/>
      <c r="H5" s="2" t="s">
        <v>185</v>
      </c>
      <c r="I5" s="2" t="s">
        <v>351</v>
      </c>
      <c r="J5" s="2"/>
      <c r="K5" s="2" t="s">
        <v>352</v>
      </c>
      <c r="L5" s="2" t="s">
        <v>353</v>
      </c>
      <c r="M5" s="2"/>
      <c r="N5" s="2"/>
      <c r="O5" s="2"/>
      <c r="P5" s="2"/>
      <c r="Q5" s="2" t="s">
        <v>341</v>
      </c>
    </row>
    <row r="6" customFormat="false" ht="15" hidden="false" customHeight="false" outlineLevel="0" collapsed="false">
      <c r="A6" s="2" t="s">
        <v>21</v>
      </c>
      <c r="B6" s="2" t="s">
        <v>348</v>
      </c>
      <c r="C6" s="2" t="s">
        <v>157</v>
      </c>
      <c r="D6" s="2" t="s">
        <v>354</v>
      </c>
      <c r="E6" s="2"/>
      <c r="F6" s="2" t="s">
        <v>166</v>
      </c>
      <c r="G6" s="2"/>
      <c r="H6" s="2" t="s">
        <v>185</v>
      </c>
      <c r="I6" s="2" t="s">
        <v>355</v>
      </c>
      <c r="J6" s="2"/>
      <c r="K6" s="2" t="s">
        <v>356</v>
      </c>
      <c r="L6" s="2" t="s">
        <v>357</v>
      </c>
      <c r="M6" s="2"/>
      <c r="N6" s="2"/>
      <c r="O6" s="2"/>
      <c r="P6" s="2"/>
      <c r="Q6" s="2" t="s">
        <v>261</v>
      </c>
    </row>
    <row r="7" customFormat="false" ht="15" hidden="false" customHeight="false" outlineLevel="0" collapsed="false">
      <c r="A7" s="2" t="s">
        <v>23</v>
      </c>
      <c r="B7" s="2" t="s">
        <v>153</v>
      </c>
      <c r="C7" s="2"/>
      <c r="D7" s="2"/>
      <c r="E7" s="2"/>
      <c r="F7" s="2" t="s">
        <v>237</v>
      </c>
      <c r="G7" s="2"/>
      <c r="H7" s="2" t="s">
        <v>185</v>
      </c>
      <c r="I7" s="2" t="s">
        <v>358</v>
      </c>
      <c r="J7" s="2"/>
      <c r="K7" s="2" t="s">
        <v>359</v>
      </c>
      <c r="L7" s="2" t="s">
        <v>360</v>
      </c>
      <c r="M7" s="2"/>
      <c r="N7" s="2"/>
      <c r="O7" s="2"/>
      <c r="P7" s="2"/>
      <c r="Q7" s="2" t="s">
        <v>195</v>
      </c>
    </row>
    <row r="8" customFormat="false" ht="15" hidden="false" customHeight="false" outlineLevel="0" collapsed="false">
      <c r="A8" s="2" t="s">
        <v>25</v>
      </c>
      <c r="B8" s="2" t="s">
        <v>244</v>
      </c>
      <c r="C8" s="2"/>
      <c r="D8" s="2"/>
      <c r="E8" s="2"/>
      <c r="F8" s="2" t="s">
        <v>238</v>
      </c>
      <c r="G8" s="2"/>
      <c r="H8" s="2" t="s">
        <v>185</v>
      </c>
      <c r="I8" s="2" t="s">
        <v>186</v>
      </c>
      <c r="J8" s="2"/>
      <c r="K8" s="2" t="s">
        <v>361</v>
      </c>
      <c r="L8" s="2" t="s">
        <v>362</v>
      </c>
      <c r="M8" s="2"/>
      <c r="N8" s="2"/>
      <c r="O8" s="2"/>
      <c r="P8" s="2"/>
      <c r="Q8" s="2"/>
    </row>
    <row r="9" customFormat="false" ht="15" hidden="false" customHeight="false" outlineLevel="0" collapsed="false">
      <c r="A9" s="2" t="s">
        <v>27</v>
      </c>
      <c r="B9" s="2"/>
      <c r="C9" s="2"/>
      <c r="D9" s="2"/>
      <c r="E9" s="2"/>
      <c r="F9" s="2" t="s">
        <v>199</v>
      </c>
      <c r="G9" s="2"/>
      <c r="H9" s="2" t="s">
        <v>185</v>
      </c>
      <c r="I9" s="2" t="s">
        <v>363</v>
      </c>
      <c r="J9" s="2"/>
      <c r="K9" s="2" t="s">
        <v>364</v>
      </c>
      <c r="L9" s="2" t="s">
        <v>244</v>
      </c>
      <c r="M9" s="2"/>
      <c r="N9" s="2"/>
      <c r="O9" s="2"/>
      <c r="P9" s="2"/>
      <c r="Q9" s="2"/>
    </row>
    <row r="10" customFormat="false" ht="15" hidden="false" customHeight="false" outlineLevel="0" collapsed="false">
      <c r="A10" s="2" t="s">
        <v>29</v>
      </c>
      <c r="B10" s="2"/>
      <c r="C10" s="2"/>
      <c r="D10" s="2"/>
      <c r="E10" s="2"/>
      <c r="F10" s="2" t="s">
        <v>239</v>
      </c>
      <c r="G10" s="2"/>
      <c r="H10" s="2" t="s">
        <v>173</v>
      </c>
      <c r="I10" s="2" t="s">
        <v>174</v>
      </c>
      <c r="J10" s="2"/>
      <c r="K10" s="2"/>
      <c r="L10" s="2"/>
      <c r="M10" s="2"/>
      <c r="N10" s="2"/>
      <c r="O10" s="2"/>
      <c r="P10" s="2"/>
      <c r="Q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 t="s">
        <v>240</v>
      </c>
      <c r="G11" s="2"/>
      <c r="H11" s="2" t="s">
        <v>173</v>
      </c>
      <c r="I11" s="2" t="s">
        <v>365</v>
      </c>
      <c r="J11" s="2"/>
      <c r="K11" s="2"/>
      <c r="L11" s="2"/>
      <c r="M11" s="2"/>
      <c r="N11" s="2"/>
      <c r="O11" s="2"/>
      <c r="P11" s="2"/>
      <c r="Q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 t="s">
        <v>241</v>
      </c>
      <c r="G12" s="2"/>
      <c r="H12" s="2" t="s">
        <v>173</v>
      </c>
      <c r="I12" s="2" t="s">
        <v>366</v>
      </c>
      <c r="J12" s="2"/>
      <c r="K12" s="2"/>
      <c r="L12" s="2"/>
      <c r="M12" s="2"/>
      <c r="N12" s="2"/>
      <c r="O12" s="2"/>
      <c r="P12" s="2"/>
      <c r="Q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 t="s">
        <v>242</v>
      </c>
      <c r="G13" s="2"/>
      <c r="H13" s="2" t="s">
        <v>173</v>
      </c>
      <c r="I13" s="2" t="s">
        <v>367</v>
      </c>
      <c r="J13" s="2"/>
      <c r="K13" s="2"/>
      <c r="L13" s="2"/>
      <c r="M13" s="2"/>
      <c r="N13" s="2"/>
      <c r="O13" s="2"/>
      <c r="P13" s="2"/>
      <c r="Q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 t="s">
        <v>227</v>
      </c>
      <c r="G14" s="2"/>
      <c r="H14" s="2" t="s">
        <v>173</v>
      </c>
      <c r="I14" s="2" t="s">
        <v>368</v>
      </c>
      <c r="J14" s="2"/>
      <c r="K14" s="2"/>
      <c r="L14" s="2"/>
      <c r="M14" s="2"/>
      <c r="N14" s="2"/>
      <c r="O14" s="2"/>
      <c r="P14" s="2"/>
      <c r="Q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 t="s">
        <v>243</v>
      </c>
      <c r="G15" s="2"/>
      <c r="H15" s="2" t="s">
        <v>179</v>
      </c>
      <c r="I15" s="2" t="s">
        <v>369</v>
      </c>
      <c r="J15" s="2"/>
      <c r="K15" s="2"/>
      <c r="L15" s="2"/>
      <c r="M15" s="2"/>
      <c r="N15" s="2"/>
      <c r="O15" s="2"/>
      <c r="P15" s="2"/>
      <c r="Q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 t="s">
        <v>244</v>
      </c>
      <c r="G16" s="2"/>
      <c r="H16" s="2" t="s">
        <v>179</v>
      </c>
      <c r="I16" s="2" t="s">
        <v>180</v>
      </c>
      <c r="J16" s="2"/>
      <c r="K16" s="2"/>
      <c r="L16" s="2"/>
      <c r="M16" s="2"/>
      <c r="N16" s="2"/>
      <c r="O16" s="2"/>
      <c r="P16" s="2"/>
      <c r="Q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 t="s">
        <v>150</v>
      </c>
      <c r="G17" s="2"/>
      <c r="H17" s="2" t="s">
        <v>179</v>
      </c>
      <c r="I17" s="2" t="s">
        <v>370</v>
      </c>
      <c r="J17" s="2"/>
      <c r="K17" s="2"/>
      <c r="L17" s="2"/>
      <c r="M17" s="2"/>
      <c r="N17" s="2"/>
      <c r="O17" s="2"/>
      <c r="P17" s="2"/>
      <c r="Q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 t="s">
        <v>371</v>
      </c>
      <c r="G18" s="2"/>
      <c r="H18" s="2" t="s">
        <v>179</v>
      </c>
      <c r="I18" s="2" t="s">
        <v>372</v>
      </c>
      <c r="J18" s="2"/>
      <c r="K18" s="2"/>
      <c r="L18" s="2"/>
      <c r="M18" s="2"/>
      <c r="N18" s="2"/>
      <c r="O18" s="2"/>
      <c r="P18" s="2"/>
      <c r="Q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 t="s">
        <v>195</v>
      </c>
      <c r="G19" s="2"/>
      <c r="H19" s="2" t="s">
        <v>166</v>
      </c>
      <c r="I19" s="2" t="s">
        <v>167</v>
      </c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 t="s">
        <v>192</v>
      </c>
      <c r="G20" s="2"/>
      <c r="H20" s="2" t="s">
        <v>166</v>
      </c>
      <c r="I20" s="2" t="s">
        <v>373</v>
      </c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 t="s">
        <v>374</v>
      </c>
      <c r="G21" s="2"/>
      <c r="H21" s="2" t="s">
        <v>166</v>
      </c>
      <c r="I21" s="2" t="s">
        <v>375</v>
      </c>
      <c r="J21" s="2"/>
      <c r="K21" s="2"/>
      <c r="L21" s="2"/>
      <c r="M21" s="2"/>
      <c r="N21" s="2"/>
      <c r="O21" s="2"/>
      <c r="P21" s="2"/>
      <c r="Q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 t="s">
        <v>206</v>
      </c>
      <c r="G22" s="2"/>
      <c r="H22" s="2" t="s">
        <v>237</v>
      </c>
      <c r="I22" s="2" t="s">
        <v>376</v>
      </c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 t="s">
        <v>237</v>
      </c>
      <c r="I23" s="2" t="s">
        <v>377</v>
      </c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 t="s">
        <v>237</v>
      </c>
      <c r="I24" s="2" t="s">
        <v>378</v>
      </c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 t="s">
        <v>237</v>
      </c>
      <c r="I25" s="2" t="s">
        <v>379</v>
      </c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 t="s">
        <v>238</v>
      </c>
      <c r="I26" s="2" t="s">
        <v>380</v>
      </c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 t="s">
        <v>238</v>
      </c>
      <c r="I27" s="2" t="s">
        <v>381</v>
      </c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 t="s">
        <v>199</v>
      </c>
      <c r="I28" s="2" t="s">
        <v>200</v>
      </c>
      <c r="J28" s="2"/>
      <c r="K28" s="2"/>
      <c r="L28" s="2"/>
      <c r="M28" s="2"/>
      <c r="N28" s="2"/>
      <c r="O28" s="2"/>
      <c r="P28" s="2"/>
      <c r="Q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 t="s">
        <v>199</v>
      </c>
      <c r="I29" s="2" t="s">
        <v>382</v>
      </c>
      <c r="J29" s="2"/>
      <c r="K29" s="2"/>
      <c r="L29" s="2"/>
      <c r="M29" s="2"/>
      <c r="N29" s="2"/>
      <c r="O29" s="2"/>
      <c r="P29" s="2"/>
      <c r="Q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 t="s">
        <v>199</v>
      </c>
      <c r="I30" s="2" t="s">
        <v>383</v>
      </c>
      <c r="J30" s="2"/>
      <c r="K30" s="2"/>
      <c r="L30" s="2"/>
      <c r="M30" s="2"/>
      <c r="N30" s="2"/>
      <c r="O30" s="2"/>
      <c r="P30" s="2"/>
      <c r="Q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 t="s">
        <v>239</v>
      </c>
      <c r="I31" s="2" t="s">
        <v>384</v>
      </c>
      <c r="J31" s="2"/>
      <c r="K31" s="2"/>
      <c r="L31" s="2"/>
      <c r="M31" s="2"/>
      <c r="N31" s="2"/>
      <c r="O31" s="2"/>
      <c r="P31" s="2"/>
      <c r="Q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 t="s">
        <v>239</v>
      </c>
      <c r="I32" s="2" t="s">
        <v>385</v>
      </c>
      <c r="J32" s="2"/>
      <c r="K32" s="2"/>
      <c r="L32" s="2"/>
      <c r="M32" s="2"/>
      <c r="N32" s="2"/>
      <c r="O32" s="2"/>
      <c r="P32" s="2"/>
      <c r="Q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 t="s">
        <v>239</v>
      </c>
      <c r="I33" s="2" t="s">
        <v>386</v>
      </c>
      <c r="J33" s="2"/>
      <c r="K33" s="2"/>
      <c r="L33" s="2"/>
      <c r="M33" s="2"/>
      <c r="N33" s="2"/>
      <c r="O33" s="2"/>
      <c r="P33" s="2"/>
      <c r="Q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 t="s">
        <v>240</v>
      </c>
      <c r="I34" s="2" t="s">
        <v>387</v>
      </c>
      <c r="J34" s="2"/>
      <c r="K34" s="2"/>
      <c r="L34" s="2"/>
      <c r="M34" s="2"/>
      <c r="N34" s="2"/>
      <c r="O34" s="2"/>
      <c r="P34" s="2"/>
      <c r="Q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 t="s">
        <v>240</v>
      </c>
      <c r="I35" s="2" t="s">
        <v>388</v>
      </c>
      <c r="J35" s="2"/>
      <c r="K35" s="2"/>
      <c r="L35" s="2"/>
      <c r="M35" s="2"/>
      <c r="N35" s="2"/>
      <c r="O35" s="2"/>
      <c r="P35" s="2"/>
      <c r="Q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 t="s">
        <v>241</v>
      </c>
      <c r="I36" s="2" t="s">
        <v>389</v>
      </c>
      <c r="J36" s="2"/>
      <c r="K36" s="2"/>
      <c r="L36" s="2"/>
      <c r="M36" s="2"/>
      <c r="N36" s="2"/>
      <c r="O36" s="2"/>
      <c r="P36" s="2"/>
      <c r="Q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 t="s">
        <v>241</v>
      </c>
      <c r="I37" s="2" t="s">
        <v>390</v>
      </c>
      <c r="J37" s="2"/>
      <c r="K37" s="2"/>
      <c r="L37" s="2"/>
      <c r="M37" s="2"/>
      <c r="N37" s="2"/>
      <c r="O37" s="2"/>
      <c r="P37" s="2"/>
      <c r="Q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 t="s">
        <v>241</v>
      </c>
      <c r="I38" s="2" t="s">
        <v>391</v>
      </c>
      <c r="J38" s="2"/>
      <c r="K38" s="2"/>
      <c r="L38" s="2"/>
      <c r="M38" s="2"/>
      <c r="N38" s="2"/>
      <c r="O38" s="2"/>
      <c r="P38" s="2"/>
      <c r="Q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 t="s">
        <v>242</v>
      </c>
      <c r="I39" s="2" t="s">
        <v>392</v>
      </c>
      <c r="J39" s="2"/>
      <c r="K39" s="2"/>
      <c r="L39" s="2"/>
      <c r="M39" s="2"/>
      <c r="N39" s="2"/>
      <c r="O39" s="2"/>
      <c r="P39" s="2"/>
      <c r="Q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 t="s">
        <v>242</v>
      </c>
      <c r="I40" s="2" t="s">
        <v>393</v>
      </c>
      <c r="J40" s="2"/>
      <c r="K40" s="2"/>
      <c r="L40" s="2"/>
      <c r="M40" s="2"/>
      <c r="N40" s="2"/>
      <c r="O40" s="2"/>
      <c r="P40" s="2"/>
      <c r="Q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 t="s">
        <v>227</v>
      </c>
      <c r="I41" s="2" t="s">
        <v>394</v>
      </c>
      <c r="J41" s="2"/>
      <c r="K41" s="2"/>
      <c r="L41" s="2"/>
      <c r="M41" s="2"/>
      <c r="N41" s="2"/>
      <c r="O41" s="2"/>
      <c r="P41" s="2"/>
      <c r="Q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 t="s">
        <v>243</v>
      </c>
      <c r="I42" s="2" t="s">
        <v>395</v>
      </c>
      <c r="J42" s="2"/>
      <c r="K42" s="2"/>
      <c r="L42" s="2"/>
      <c r="M42" s="2"/>
      <c r="N42" s="2"/>
      <c r="O42" s="2"/>
      <c r="P42" s="2"/>
      <c r="Q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 t="s">
        <v>243</v>
      </c>
      <c r="I43" s="2" t="s">
        <v>396</v>
      </c>
      <c r="J43" s="2"/>
      <c r="K43" s="2"/>
      <c r="L43" s="2"/>
      <c r="M43" s="2"/>
      <c r="N43" s="2"/>
      <c r="O43" s="2"/>
      <c r="P43" s="2"/>
      <c r="Q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 t="s">
        <v>244</v>
      </c>
      <c r="I44" s="2" t="s">
        <v>244</v>
      </c>
      <c r="J44" s="2"/>
      <c r="K44" s="2"/>
      <c r="L44" s="2"/>
      <c r="M44" s="2"/>
      <c r="N44" s="2"/>
      <c r="O44" s="2"/>
      <c r="P44" s="2"/>
      <c r="Q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 t="s">
        <v>150</v>
      </c>
      <c r="I45" s="2" t="s">
        <v>151</v>
      </c>
      <c r="J45" s="2"/>
      <c r="K45" s="2"/>
      <c r="L45" s="2"/>
      <c r="M45" s="2"/>
      <c r="N45" s="2"/>
      <c r="O45" s="2"/>
      <c r="P45" s="2"/>
      <c r="Q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 t="s">
        <v>371</v>
      </c>
      <c r="I46" s="2" t="s">
        <v>397</v>
      </c>
      <c r="J46" s="2"/>
      <c r="K46" s="2"/>
      <c r="L46" s="2"/>
      <c r="M46" s="2"/>
      <c r="N46" s="2"/>
      <c r="O46" s="2"/>
      <c r="P46" s="2"/>
      <c r="Q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 t="s">
        <v>371</v>
      </c>
      <c r="I47" s="2" t="s">
        <v>398</v>
      </c>
      <c r="J47" s="2"/>
      <c r="K47" s="2"/>
      <c r="L47" s="2"/>
      <c r="M47" s="2"/>
      <c r="N47" s="2"/>
      <c r="O47" s="2"/>
      <c r="P47" s="2"/>
      <c r="Q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 t="s">
        <v>371</v>
      </c>
      <c r="I48" s="2" t="s">
        <v>399</v>
      </c>
      <c r="J48" s="2"/>
      <c r="K48" s="2"/>
      <c r="L48" s="2"/>
      <c r="M48" s="2"/>
      <c r="N48" s="2"/>
      <c r="O48" s="2"/>
      <c r="P48" s="2"/>
      <c r="Q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 t="s">
        <v>371</v>
      </c>
      <c r="I49" s="2" t="s">
        <v>400</v>
      </c>
      <c r="J49" s="2"/>
      <c r="K49" s="2"/>
      <c r="L49" s="2"/>
      <c r="M49" s="2"/>
      <c r="N49" s="2"/>
      <c r="O49" s="2"/>
      <c r="P49" s="2"/>
      <c r="Q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 t="s">
        <v>195</v>
      </c>
      <c r="I50" s="2" t="s">
        <v>196</v>
      </c>
      <c r="J50" s="2"/>
      <c r="K50" s="2"/>
      <c r="L50" s="2"/>
      <c r="M50" s="2"/>
      <c r="N50" s="2"/>
      <c r="O50" s="2"/>
      <c r="P50" s="2"/>
      <c r="Q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 t="s">
        <v>195</v>
      </c>
      <c r="I51" s="2" t="s">
        <v>401</v>
      </c>
      <c r="J51" s="2"/>
      <c r="K51" s="2"/>
      <c r="L51" s="2"/>
      <c r="M51" s="2"/>
      <c r="N51" s="2"/>
      <c r="O51" s="2"/>
      <c r="P51" s="2"/>
      <c r="Q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 t="s">
        <v>195</v>
      </c>
      <c r="I52" s="2" t="s">
        <v>360</v>
      </c>
      <c r="J52" s="2"/>
      <c r="K52" s="2"/>
      <c r="L52" s="2"/>
      <c r="M52" s="2"/>
      <c r="N52" s="2"/>
      <c r="O52" s="2"/>
      <c r="P52" s="2"/>
      <c r="Q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 t="s">
        <v>192</v>
      </c>
      <c r="I53" s="2" t="s">
        <v>32</v>
      </c>
      <c r="J53" s="2"/>
      <c r="K53" s="2"/>
      <c r="L53" s="2"/>
      <c r="M53" s="2"/>
      <c r="N53" s="2"/>
      <c r="O53" s="2"/>
      <c r="P53" s="2"/>
      <c r="Q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 t="s">
        <v>374</v>
      </c>
      <c r="I54" s="2" t="s">
        <v>402</v>
      </c>
      <c r="J54" s="2"/>
      <c r="K54" s="2"/>
      <c r="L54" s="2"/>
      <c r="M54" s="2"/>
      <c r="N54" s="2"/>
      <c r="O54" s="2"/>
      <c r="P54" s="2"/>
      <c r="Q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 t="s">
        <v>374</v>
      </c>
      <c r="I55" s="2" t="s">
        <v>341</v>
      </c>
      <c r="J55" s="2"/>
      <c r="K55" s="2"/>
      <c r="L55" s="2"/>
      <c r="M55" s="2"/>
      <c r="N55" s="2"/>
      <c r="O55" s="2"/>
      <c r="P55" s="2"/>
      <c r="Q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 t="s">
        <v>206</v>
      </c>
      <c r="I56" s="2" t="s">
        <v>403</v>
      </c>
      <c r="J56" s="2"/>
      <c r="K56" s="2"/>
      <c r="L56" s="2"/>
      <c r="M56" s="2"/>
      <c r="N56" s="2"/>
      <c r="O56" s="2"/>
      <c r="P56" s="2"/>
      <c r="Q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 t="s">
        <v>206</v>
      </c>
      <c r="I57" s="2" t="s">
        <v>207</v>
      </c>
      <c r="J57" s="2"/>
      <c r="K57" s="2"/>
      <c r="L57" s="2"/>
      <c r="M57" s="2"/>
      <c r="N57" s="2"/>
      <c r="O57" s="2"/>
      <c r="P57" s="2"/>
      <c r="Q5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2026-10-12T11:31:09Z</dcterms:created>
  <dc:creator>openpyxl</dc:creator>
  <dc:description/>
  <dc:language>en-US</dc:language>
  <cp:lastModifiedBy/>
  <dcterms:modified xsi:type="dcterms:W3CDTF">2026-10-12T11:31:09Z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